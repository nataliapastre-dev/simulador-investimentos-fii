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ISTAS" sheetId="2" state="visible" r:id="rId2"/>
    <sheet xmlns:r="http://schemas.openxmlformats.org/officeDocument/2006/relationships" name="BASE_ATIVOS" sheetId="3" state="visible" r:id="rId3"/>
    <sheet xmlns:r="http://schemas.openxmlformats.org/officeDocument/2006/relationships" name="CARTEIRA" sheetId="4" state="visible" r:id="rId4"/>
    <sheet xmlns:r="http://schemas.openxmlformats.org/officeDocument/2006/relationships" name="PROVENTOS" sheetId="5" state="visible" r:id="rId5"/>
    <sheet xmlns:r="http://schemas.openxmlformats.org/officeDocument/2006/relationships" name="APORTES" sheetId="6" state="visible" r:id="rId6"/>
    <sheet xmlns:r="http://schemas.openxmlformats.org/officeDocument/2006/relationships" name="SIMULADO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FF5500"/>
      <sz val="15"/>
    </font>
    <font>
      <name val="Segoe UI"/>
      <b val="1"/>
      <color rgb="00666666"/>
      <sz val="10"/>
    </font>
    <font>
      <name val="Segoe UI"/>
      <i val="1"/>
      <color rgb="00555555"/>
      <sz val="9"/>
    </font>
    <font>
      <name val="Segoe UI"/>
      <sz val="10"/>
    </font>
    <font>
      <name val="Segoe UI"/>
      <b val="1"/>
      <sz val="10"/>
    </font>
    <font>
      <name val="Segoe UI"/>
      <b val="1"/>
      <color rgb="00FF5500"/>
      <sz val="11"/>
    </font>
    <font>
      <name val="Segoe UI"/>
      <b val="1"/>
      <color rgb="00FFFFFF"/>
      <sz val="9"/>
    </font>
    <font>
      <name val="Segoe UI"/>
      <b val="1"/>
      <color rgb="001E1E1E"/>
      <sz val="12"/>
    </font>
  </fonts>
  <fills count="7">
    <fill>
      <patternFill/>
    </fill>
    <fill>
      <patternFill patternType="gray125"/>
    </fill>
    <fill>
      <patternFill patternType="solid">
        <fgColor rgb="001E1E1E"/>
        <bgColor rgb="001E1E1E"/>
      </patternFill>
    </fill>
    <fill>
      <patternFill patternType="solid">
        <fgColor rgb="00FF5500"/>
        <bgColor rgb="00FF5500"/>
      </patternFill>
    </fill>
    <fill>
      <patternFill patternType="solid">
        <fgColor rgb="00F5F5F7"/>
        <bgColor rgb="00F5F5F7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0" fontId="9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center" vertical="center"/>
    </xf>
    <xf numFmtId="0" fontId="6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164" fontId="5" fillId="4" borderId="1" pivotButton="0" quotePrefix="0" xfId="0"/>
    <xf numFmtId="3" fontId="5" fillId="4" borderId="1" pivotButton="0" quotePrefix="0" xfId="0"/>
    <xf numFmtId="10" fontId="5" fillId="4" borderId="1" pivotButton="0" quotePrefix="0" xfId="0"/>
    <xf numFmtId="2" fontId="5" fillId="4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10" fontId="5" fillId="0" borderId="1" pivotButton="0" quotePrefix="0" xfId="0"/>
    <xf numFmtId="2" fontId="5" fillId="0" borderId="1" pivotButton="0" quotePrefix="0" xfId="0"/>
    <xf numFmtId="0" fontId="1" fillId="3" borderId="0" pivotButton="0" quotePrefix="0" xfId="0"/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10" fontId="6" fillId="5" borderId="1" applyAlignment="1" pivotButton="0" quotePrefix="0" xfId="0">
      <alignment horizontal="right"/>
    </xf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Alocação da Carteira por Segmento</a:t>
            </a:r>
          </a:p>
        </rich>
      </tx>
    </title>
    <plotArea>
      <pieChart>
        <varyColors val="1"/>
        <ser>
          <idx val="0"/>
          <order val="0"/>
          <tx>
            <strRef>
              <f>'DASHBOARD'!K7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'DASHBOARD'!$J$8:$J$12</f>
            </numRef>
          </cat>
          <val>
            <numRef>
              <f>'DASHBOARD'!$K$8:$K$12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Corretora</a:t>
            </a:r>
          </a:p>
        </rich>
      </tx>
    </title>
    <plotArea>
      <pieChart>
        <varyColors val="1"/>
        <ser>
          <idx val="0"/>
          <order val="0"/>
          <tx>
            <strRef>
              <f>'DASHBOARD'!K14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'DASHBOARD'!$J$15:$J$18</f>
            </numRef>
          </cat>
          <val>
            <numRef>
              <f>'DASHBOARD'!$K$15:$K$18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Proventos Recebidos por Mês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'DASHBOARD'!$J$21:$J$32</f>
            </numRef>
          </cat>
          <val>
            <numRef>
              <f>'DASHBOARD'!$K$21:$K$32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Aportes Realizados por Mês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'DASHBOARD'!K34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'DASHBOARD'!$J$35:$J$46</f>
            </numRef>
          </cat>
          <val>
            <numRef>
              <f>'DASHBOARD'!$K$35:$K$46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Efeito Bola de Neve: Patrimônio x Total Investido do Bolso</a:t>
            </a:r>
          </a:p>
        </rich>
      </tx>
    </title>
    <plotArea>
      <lineChart>
        <grouping val="standard"/>
        <ser>
          <idx val="0"/>
          <order val="0"/>
          <tx>
            <strRef>
              <f>'SIMULADOR'!C13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'SIMULADOR'!$A$14:$A$73</f>
            </numRef>
          </cat>
          <val>
            <numRef>
              <f>'SIMULADOR'!$C$14:$C$73</f>
            </numRef>
          </val>
        </ser>
        <ser>
          <idx val="1"/>
          <order val="1"/>
          <tx>
            <strRef>
              <f>'SIMULADOR'!D13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'SIMULADOR'!$A$14:$A$73</f>
            </numRef>
          </cat>
          <val>
            <numRef>
              <f>'SIMULADOR'!$D$14:$D$73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0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7</row>
      <rowOff>0</rowOff>
    </from>
    <ext cx="504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50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22</row>
      <rowOff>0</rowOff>
    </from>
    <ext cx="504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2" customWidth="1" min="4" max="4"/>
    <col width="27" customWidth="1" min="5" max="5"/>
    <col width="34" customWidth="1" min="6" max="6"/>
    <col width="12" customWidth="1" min="7" max="7"/>
    <col width="12" customWidth="1" min="8" max="8"/>
    <col width="12" customWidth="1" min="9" max="9"/>
    <col width="33" customWidth="1" min="10" max="10"/>
    <col width="34" customWidth="1" min="11" max="11"/>
  </cols>
  <sheetData>
    <row r="1">
      <c r="A1" s="1" t="inlineStr">
        <is>
          <t>📊 Simulador e Controle de Investimentos</t>
        </is>
      </c>
    </row>
    <row r="2">
      <c r="A2" s="2" t="inlineStr">
        <is>
          <t>Corretora: Rico</t>
        </is>
      </c>
    </row>
    <row r="3"/>
    <row r="4" ht="20" customHeight="1">
      <c r="A4" s="3" t="inlineStr">
        <is>
          <t>💰 Custo Total Investido</t>
        </is>
      </c>
      <c r="B4" s="3" t="inlineStr">
        <is>
          <t>📈 Patrimônio Atual</t>
        </is>
      </c>
      <c r="C4" s="3" t="inlineStr">
        <is>
          <t>🟢 Resultado R$</t>
        </is>
      </c>
      <c r="D4" s="3" t="inlineStr">
        <is>
          <t>📊 Rentabilidade</t>
        </is>
      </c>
      <c r="E4" s="3" t="inlineStr">
        <is>
          <t>💵 Proventos Recebidos</t>
        </is>
      </c>
      <c r="F4" s="3" t="inlineStr">
        <is>
          <t>🏦 Qtd Ativos em Carteira</t>
        </is>
      </c>
    </row>
    <row r="5" ht="26" customHeight="1">
      <c r="A5" s="4">
        <f>SUM(CARTEIRA!H6:H100)</f>
        <v/>
      </c>
      <c r="B5" s="4">
        <f>SUM(CARTEIRA!K6:K100)</f>
        <v/>
      </c>
      <c r="C5" s="4">
        <f>B5-A5</f>
        <v/>
      </c>
      <c r="D5" s="5">
        <f>IFERROR(C5/A5, 0)</f>
        <v/>
      </c>
      <c r="E5" s="4">
        <f>SUM(PROVENTOS!G5:G100)</f>
        <v/>
      </c>
      <c r="F5" s="6">
        <f>COUNTIF(CARTEIRA!H6:H100, "&gt;0")</f>
        <v/>
      </c>
    </row>
    <row r="6"/>
    <row r="7">
      <c r="J7" s="7" t="inlineStr">
        <is>
          <t>Segmento</t>
        </is>
      </c>
      <c r="K7" s="7" t="inlineStr">
        <is>
          <t>Valor Actual</t>
        </is>
      </c>
    </row>
    <row r="8">
      <c r="J8" t="inlineStr">
        <is>
          <t>Títulos e Valores Mobiliários</t>
        </is>
      </c>
      <c r="K8" s="8">
        <f>SUMIF(CARTEIRA!$N$6:$N$100, J8, CARTEIRA!$K$6:$K$100)</f>
        <v/>
      </c>
    </row>
    <row r="9">
      <c r="J9" t="inlineStr">
        <is>
          <t>Logístico / Galpões</t>
        </is>
      </c>
      <c r="K9" s="8">
        <f>SUMIF(CARTEIRA!$N$6:$N$100, J9, CARTEIRA!$K$6:$K$100)</f>
        <v/>
      </c>
    </row>
    <row r="10">
      <c r="J10" t="inlineStr">
        <is>
          <t>Shoppings / Varejo</t>
        </is>
      </c>
      <c r="K10" s="8">
        <f>SUMIF(CARTEIRA!$N$6:$N$100, J10, CARTEIRA!$K$6:$K$100)</f>
        <v/>
      </c>
    </row>
    <row r="11">
      <c r="J11" t="inlineStr">
        <is>
          <t>Híbrido</t>
        </is>
      </c>
      <c r="K11" s="8">
        <f>SUMIF(CARTEIRA!$N$6:$N$100, J11, CARTEIRA!$K$6:$K$100)</f>
        <v/>
      </c>
    </row>
    <row r="12">
      <c r="J12" t="inlineStr">
        <is>
          <t>FI-Infra</t>
        </is>
      </c>
      <c r="K12" s="8">
        <f>SUMIF(CARTEIRA!$N$6:$N$100, J12, CARTEIRA!$K$6:$K$100)</f>
        <v/>
      </c>
    </row>
    <row r="13"/>
    <row r="14">
      <c r="J14" s="7" t="inlineStr">
        <is>
          <t>Corretora</t>
        </is>
      </c>
      <c r="K14" s="7" t="inlineStr">
        <is>
          <t>Valor</t>
        </is>
      </c>
    </row>
    <row r="15">
      <c r="J15" t="inlineStr">
        <is>
          <t>Rico</t>
        </is>
      </c>
      <c r="K15" s="8">
        <f>SUMIF(CARTEIRA!$B$6:$B$100, J15, CARTEIRA!$K$6:$K$100)</f>
        <v/>
      </c>
    </row>
    <row r="16">
      <c r="J16" t="inlineStr">
        <is>
          <t>XP</t>
        </is>
      </c>
      <c r="K16" s="8">
        <f>SUMIF(CARTEIRA!$B$6:$B$100, J16, CARTEIRA!$K$6:$K$100)</f>
        <v/>
      </c>
    </row>
    <row r="17">
      <c r="J17" t="inlineStr">
        <is>
          <t>BTG</t>
        </is>
      </c>
      <c r="K17" s="8">
        <f>SUMIF(CARTEIRA!$B$6:$B$100, J17, CARTEIRA!$K$6:$K$100)</f>
        <v/>
      </c>
    </row>
    <row r="18">
      <c r="J18" t="inlineStr">
        <is>
          <t>Outras</t>
        </is>
      </c>
      <c r="K18" s="8">
        <f>SUM(CARTEIRA!$K$6:$K$100)-SUM(K15:K17)</f>
        <v/>
      </c>
    </row>
    <row r="19"/>
    <row r="20">
      <c r="J20" s="7" t="inlineStr">
        <is>
          <t>Mês</t>
        </is>
      </c>
      <c r="K20" s="7" t="inlineStr">
        <is>
          <t>Proventos</t>
        </is>
      </c>
    </row>
    <row r="21">
      <c r="J21" t="inlineStr">
        <is>
          <t>Janeiro</t>
        </is>
      </c>
      <c r="K21" s="8">
        <f>SUMIF(PROVENTOS!$B$5:$B$100, J21, PROVENTOS!$G$5:$G$100)</f>
        <v/>
      </c>
    </row>
    <row r="22">
      <c r="J22" t="inlineStr">
        <is>
          <t>Fevereiro</t>
        </is>
      </c>
      <c r="K22" s="8">
        <f>SUMIF(PROVENTOS!$B$5:$B$100, J22, PROVENTOS!$G$5:$G$100)</f>
        <v/>
      </c>
    </row>
    <row r="23">
      <c r="J23" t="inlineStr">
        <is>
          <t>Março</t>
        </is>
      </c>
      <c r="K23" s="8">
        <f>SUMIF(PROVENTOS!$B$5:$B$100, J23, PROVENTOS!$G$5:$G$100)</f>
        <v/>
      </c>
    </row>
    <row r="24">
      <c r="J24" t="inlineStr">
        <is>
          <t>Abril</t>
        </is>
      </c>
      <c r="K24" s="8">
        <f>SUMIF(PROVENTOS!$B$5:$B$100, J24, PROVENTOS!$G$5:$G$100)</f>
        <v/>
      </c>
    </row>
    <row r="25">
      <c r="J25" t="inlineStr">
        <is>
          <t>Maio</t>
        </is>
      </c>
      <c r="K25" s="8">
        <f>SUMIF(PROVENTOS!$B$5:$B$100, J25, PROVENTOS!$G$5:$G$100)</f>
        <v/>
      </c>
    </row>
    <row r="26">
      <c r="J26" t="inlineStr">
        <is>
          <t>Junho</t>
        </is>
      </c>
      <c r="K26" s="8">
        <f>SUMIF(PROVENTOS!$B$5:$B$100, J26, PROVENTOS!$G$5:$G$100)</f>
        <v/>
      </c>
    </row>
    <row r="27">
      <c r="J27" t="inlineStr">
        <is>
          <t>Julho</t>
        </is>
      </c>
      <c r="K27" s="8">
        <f>SUMIF(PROVENTOS!$B$5:$B$100, J27, PROVENTOS!$G$5:$G$100)</f>
        <v/>
      </c>
    </row>
    <row r="28">
      <c r="J28" t="inlineStr">
        <is>
          <t>Agosto</t>
        </is>
      </c>
      <c r="K28" s="8">
        <f>SUMIF(PROVENTOS!$B$5:$B$100, J28, PROVENTOS!$G$5:$G$100)</f>
        <v/>
      </c>
    </row>
    <row r="29">
      <c r="J29" t="inlineStr">
        <is>
          <t>Setembro</t>
        </is>
      </c>
      <c r="K29" s="8">
        <f>SUMIF(PROVENTOS!$B$5:$B$100, J29, PROVENTOS!$G$5:$G$100)</f>
        <v/>
      </c>
    </row>
    <row r="30">
      <c r="J30" t="inlineStr">
        <is>
          <t>Outubro</t>
        </is>
      </c>
      <c r="K30" s="8">
        <f>SUMIF(PROVENTOS!$B$5:$B$100, J30, PROVENTOS!$G$5:$G$100)</f>
        <v/>
      </c>
    </row>
    <row r="31">
      <c r="J31" t="inlineStr">
        <is>
          <t>Novembro</t>
        </is>
      </c>
      <c r="K31" s="8">
        <f>SUMIF(PROVENTOS!$B$5:$B$100, J31, PROVENTOS!$G$5:$G$100)</f>
        <v/>
      </c>
    </row>
    <row r="32">
      <c r="J32" t="inlineStr">
        <is>
          <t>Dezembro</t>
        </is>
      </c>
      <c r="K32" s="8">
        <f>SUMIF(PROVENTOS!$B$5:$B$100, J32, PROVENTOS!$G$5:$G$100)</f>
        <v/>
      </c>
    </row>
    <row r="33"/>
    <row r="34">
      <c r="J34" s="7" t="inlineStr">
        <is>
          <t>Mês</t>
        </is>
      </c>
      <c r="K34" s="7" t="inlineStr">
        <is>
          <t>Aportes</t>
        </is>
      </c>
    </row>
    <row r="35">
      <c r="J35" t="inlineStr">
        <is>
          <t>Janeiro</t>
        </is>
      </c>
      <c r="K35" s="8">
        <f>SUMIF(APORTES!$B$5:$B$100, J35, APORTES!$D$5:$D$100)</f>
        <v/>
      </c>
    </row>
    <row r="36">
      <c r="J36" t="inlineStr">
        <is>
          <t>Fevereiro</t>
        </is>
      </c>
      <c r="K36" s="8">
        <f>SUMIF(APORTES!$B$5:$B$100, J36, APORTES!$D$5:$D$100)</f>
        <v/>
      </c>
    </row>
    <row r="37">
      <c r="J37" t="inlineStr">
        <is>
          <t>Março</t>
        </is>
      </c>
      <c r="K37" s="8">
        <f>SUMIF(APORTES!$B$5:$B$100, J37, APORTES!$D$5:$D$100)</f>
        <v/>
      </c>
    </row>
    <row r="38">
      <c r="J38" t="inlineStr">
        <is>
          <t>Abril</t>
        </is>
      </c>
      <c r="K38" s="8">
        <f>SUMIF(APORTES!$B$5:$B$100, J38, APORTES!$D$5:$D$100)</f>
        <v/>
      </c>
    </row>
    <row r="39">
      <c r="J39" t="inlineStr">
        <is>
          <t>Maio</t>
        </is>
      </c>
      <c r="K39" s="8">
        <f>SUMIF(APORTES!$B$5:$B$100, J39, APORTES!$D$5:$D$100)</f>
        <v/>
      </c>
    </row>
    <row r="40">
      <c r="J40" t="inlineStr">
        <is>
          <t>Junho</t>
        </is>
      </c>
      <c r="K40" s="8">
        <f>SUMIF(APORTES!$B$5:$B$100, J40, APORTES!$D$5:$D$100)</f>
        <v/>
      </c>
    </row>
    <row r="41">
      <c r="J41" t="inlineStr">
        <is>
          <t>Julho</t>
        </is>
      </c>
      <c r="K41" s="8">
        <f>SUMIF(APORTES!$B$5:$B$100, J41, APORTES!$D$5:$D$100)</f>
        <v/>
      </c>
    </row>
    <row r="42">
      <c r="J42" t="inlineStr">
        <is>
          <t>Agosto</t>
        </is>
      </c>
      <c r="K42" s="8">
        <f>SUMIF(APORTES!$B$5:$B$100, J42, APORTES!$D$5:$D$100)</f>
        <v/>
      </c>
    </row>
    <row r="43">
      <c r="J43" t="inlineStr">
        <is>
          <t>Setembro</t>
        </is>
      </c>
      <c r="K43" s="8">
        <f>SUMIF(APORTES!$B$5:$B$100, J43, APORTES!$D$5:$D$100)</f>
        <v/>
      </c>
    </row>
    <row r="44">
      <c r="J44" t="inlineStr">
        <is>
          <t>Outubro</t>
        </is>
      </c>
      <c r="K44" s="8">
        <f>SUMIF(APORTES!$B$5:$B$100, J44, APORTES!$D$5:$D$100)</f>
        <v/>
      </c>
    </row>
    <row r="45">
      <c r="J45" t="inlineStr">
        <is>
          <t>Novembro</t>
        </is>
      </c>
      <c r="K45" s="8">
        <f>SUMIF(APORTES!$B$5:$B$100, J45, APORTES!$D$5:$D$100)</f>
        <v/>
      </c>
    </row>
    <row r="46">
      <c r="J46" t="inlineStr">
        <is>
          <t>Dezembro</t>
        </is>
      </c>
      <c r="K46" s="8">
        <f>SUMIF(APORTES!$B$5:$B$100, J46, APORTES!$D$5:$D$100)</f>
        <v/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</cols>
  <sheetData>
    <row r="1">
      <c r="A1" s="9" t="inlineStr">
        <is>
          <t>Corretoras</t>
        </is>
      </c>
      <c r="B1" s="9" t="inlineStr">
        <is>
          <t>Tipos</t>
        </is>
      </c>
      <c r="C1" s="9" t="inlineStr">
        <is>
          <t>Segmentos</t>
        </is>
      </c>
    </row>
    <row r="2">
      <c r="A2" t="inlineStr">
        <is>
          <t>Rico</t>
        </is>
      </c>
      <c r="B2" t="inlineStr">
        <is>
          <t>FII</t>
        </is>
      </c>
      <c r="C2" t="inlineStr">
        <is>
          <t>Títulos e Valores Mobiliários</t>
        </is>
      </c>
    </row>
    <row r="3">
      <c r="A3" t="inlineStr">
        <is>
          <t>XP</t>
        </is>
      </c>
      <c r="B3" t="inlineStr">
        <is>
          <t>Ação</t>
        </is>
      </c>
      <c r="C3" t="inlineStr">
        <is>
          <t>Logístico / Galpões</t>
        </is>
      </c>
    </row>
    <row r="4">
      <c r="A4" t="inlineStr">
        <is>
          <t>NuInvest</t>
        </is>
      </c>
      <c r="B4" t="inlineStr">
        <is>
          <t>ETF</t>
        </is>
      </c>
      <c r="C4" t="inlineStr">
        <is>
          <t>Shoppings / Varejo</t>
        </is>
      </c>
    </row>
    <row r="5">
      <c r="A5" t="inlineStr">
        <is>
          <t>BTG</t>
        </is>
      </c>
      <c r="B5" t="inlineStr">
        <is>
          <t>FI-Infra</t>
        </is>
      </c>
      <c r="C5" t="inlineStr">
        <is>
          <t>Híbrido</t>
        </is>
      </c>
    </row>
    <row r="6">
      <c r="A6" t="inlineStr">
        <is>
          <t>Inter</t>
        </is>
      </c>
      <c r="B6" t="inlineStr">
        <is>
          <t>BDR</t>
        </is>
      </c>
      <c r="C6" t="inlineStr">
        <is>
          <t>FI-Infra</t>
        </is>
      </c>
    </row>
    <row r="7">
      <c r="A7" t="inlineStr">
        <is>
          <t>Clear</t>
        </is>
      </c>
      <c r="B7" t="inlineStr">
        <is>
          <t>Outros</t>
        </is>
      </c>
      <c r="C7" t="inlineStr"/>
    </row>
    <row r="8">
      <c r="A8" t="inlineStr">
        <is>
          <t>Outra</t>
        </is>
      </c>
      <c r="B8" t="inlineStr"/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5" customWidth="1" min="3" max="3"/>
    <col width="21" customWidth="1" min="4" max="4"/>
    <col width="34" customWidth="1" min="5" max="5"/>
    <col width="12" customWidth="1" min="6" max="6"/>
    <col width="12" customWidth="1" min="7" max="7"/>
    <col width="33" customWidth="1" min="8" max="8"/>
  </cols>
  <sheetData>
    <row r="1">
      <c r="A1" s="1" t="inlineStr">
        <is>
          <t>📊 Simulador e Controle de Investimentos</t>
        </is>
      </c>
    </row>
    <row r="2">
      <c r="A2" s="2" t="inlineStr">
        <is>
          <t>Corretora: Rico</t>
        </is>
      </c>
    </row>
    <row r="3">
      <c r="A3" s="10" t="inlineStr">
        <is>
          <t>💡 DICA B3: Para cotação em tempo real no Excel, selecione os Tickers com 'BVMF:' e converta em Dados &gt; Ações.</t>
        </is>
      </c>
    </row>
    <row r="4">
      <c r="A4" t="inlineStr"/>
    </row>
    <row r="5">
      <c r="A5" s="11" t="inlineStr">
        <is>
          <t>Ticker B3</t>
        </is>
      </c>
      <c r="B5" s="11" t="inlineStr">
        <is>
          <t>Ativo</t>
        </is>
      </c>
      <c r="C5" s="11" t="inlineStr">
        <is>
          <t>Preço Atual (Cotação)</t>
        </is>
      </c>
      <c r="D5" s="11" t="inlineStr">
        <is>
          <t>Último Rendimento</t>
        </is>
      </c>
      <c r="E5" s="11" t="inlineStr">
        <is>
          <t>Cota Mágica (Qtd p/ Reinvestir)</t>
        </is>
      </c>
      <c r="F5" s="11" t="inlineStr">
        <is>
          <t>DY 12m</t>
        </is>
      </c>
      <c r="G5" s="11" t="inlineStr">
        <is>
          <t>P/VP</t>
        </is>
      </c>
      <c r="H5" s="11" t="inlineStr">
        <is>
          <t>Segmento</t>
        </is>
      </c>
    </row>
    <row r="6">
      <c r="A6" s="12" t="inlineStr">
        <is>
          <t>BVMF:KNCR11</t>
        </is>
      </c>
      <c r="B6" s="13" t="inlineStr">
        <is>
          <t>Kinea Rendimentos Imobiliários</t>
        </is>
      </c>
      <c r="C6" s="14" t="n">
        <v>10.8</v>
      </c>
      <c r="D6" s="14" t="n">
        <v>0.12</v>
      </c>
      <c r="E6" s="15">
        <f>IFERROR(ROUNDUP(C6/D6, 0), 0)</f>
        <v/>
      </c>
      <c r="F6" s="16" t="n">
        <v>0.135</v>
      </c>
      <c r="G6" s="17" t="n">
        <v>1.04</v>
      </c>
      <c r="H6" s="13" t="inlineStr">
        <is>
          <t>Títulos e Valores Mobiliários</t>
        </is>
      </c>
    </row>
    <row r="7">
      <c r="A7" s="18" t="inlineStr">
        <is>
          <t>BVMF:ISNT11</t>
        </is>
      </c>
      <c r="B7" s="19" t="inlineStr">
        <is>
          <t>Itaú Isento Março 28</t>
        </is>
      </c>
      <c r="C7" s="20" t="n">
        <v>98.5</v>
      </c>
      <c r="D7" s="20" t="n">
        <v>1</v>
      </c>
      <c r="E7" s="21">
        <f>IFERROR(ROUNDUP(C7/D7, 0), 0)</f>
        <v/>
      </c>
      <c r="F7" s="22" t="n">
        <v>0.12</v>
      </c>
      <c r="G7" s="23" t="n">
        <v>1.01</v>
      </c>
      <c r="H7" s="19" t="inlineStr">
        <is>
          <t>FI-Infra</t>
        </is>
      </c>
    </row>
    <row r="8">
      <c r="A8" s="12" t="inlineStr">
        <is>
          <t>BVMF:HGLG11</t>
        </is>
      </c>
      <c r="B8" s="13" t="inlineStr">
        <is>
          <t>Pátria Log</t>
        </is>
      </c>
      <c r="C8" s="14" t="n">
        <v>165.5</v>
      </c>
      <c r="D8" s="14" t="n">
        <v>1.1</v>
      </c>
      <c r="E8" s="15">
        <f>IFERROR(ROUNDUP(C8/D8, 0), 0)</f>
        <v/>
      </c>
      <c r="F8" s="16" t="n">
        <v>0.09130000000000001</v>
      </c>
      <c r="G8" s="17" t="n">
        <v>0.87</v>
      </c>
      <c r="H8" s="13" t="inlineStr">
        <is>
          <t>Logístico / Galpões</t>
        </is>
      </c>
    </row>
    <row r="9">
      <c r="A9" s="18" t="inlineStr">
        <is>
          <t>BVMF:KNIP11</t>
        </is>
      </c>
      <c r="B9" s="19" t="inlineStr">
        <is>
          <t>Kinea Índice de Preços</t>
        </is>
      </c>
      <c r="C9" s="20" t="n">
        <v>95</v>
      </c>
      <c r="D9" s="20" t="n">
        <v>0.9</v>
      </c>
      <c r="E9" s="21">
        <f>IFERROR(ROUNDUP(C9/D9, 0), 0)</f>
        <v/>
      </c>
      <c r="F9" s="22" t="n">
        <v>0.1139</v>
      </c>
      <c r="G9" s="23" t="n">
        <v>0.96</v>
      </c>
      <c r="H9" s="19" t="inlineStr">
        <is>
          <t>Títulos e Valores Mobiliários</t>
        </is>
      </c>
    </row>
    <row r="10">
      <c r="A10" s="12" t="inlineStr">
        <is>
          <t>BVMF:BTLG11</t>
        </is>
      </c>
      <c r="B10" s="13" t="inlineStr">
        <is>
          <t>Btg Pactual Logística</t>
        </is>
      </c>
      <c r="C10" s="14" t="n">
        <v>102</v>
      </c>
      <c r="D10" s="14" t="n">
        <v>0.84</v>
      </c>
      <c r="E10" s="15">
        <f>IFERROR(ROUNDUP(C10/D10, 0), 0)</f>
        <v/>
      </c>
      <c r="F10" s="16" t="n">
        <v>0.0983</v>
      </c>
      <c r="G10" s="17" t="n">
        <v>0.91</v>
      </c>
      <c r="H10" s="13" t="inlineStr">
        <is>
          <t>Logístico / Galpões</t>
        </is>
      </c>
    </row>
    <row r="11">
      <c r="A11" s="18" t="inlineStr">
        <is>
          <t>BVMF:XPML11</t>
        </is>
      </c>
      <c r="B11" s="19" t="inlineStr">
        <is>
          <t>XP Malls</t>
        </is>
      </c>
      <c r="C11" s="20" t="n">
        <v>112</v>
      </c>
      <c r="D11" s="20" t="n">
        <v>0.92</v>
      </c>
      <c r="E11" s="21">
        <f>IFERROR(ROUNDUP(C11/D11, 0), 0)</f>
        <v/>
      </c>
      <c r="F11" s="22" t="n">
        <v>0.1002</v>
      </c>
      <c r="G11" s="23" t="n">
        <v>0.92</v>
      </c>
      <c r="H11" s="19" t="inlineStr">
        <is>
          <t>Shoppings / Varejo</t>
        </is>
      </c>
    </row>
    <row r="12">
      <c r="A12" s="12" t="inlineStr">
        <is>
          <t>BVMF:ISEN11</t>
        </is>
      </c>
      <c r="B12" s="13" t="inlineStr">
        <is>
          <t>Itaú Isento Março 29</t>
        </is>
      </c>
      <c r="C12" s="14" t="n">
        <v>94</v>
      </c>
      <c r="D12" s="14" t="n">
        <v>0.95</v>
      </c>
      <c r="E12" s="15">
        <f>IFERROR(ROUNDUP(C12/D12, 0), 0)</f>
        <v/>
      </c>
      <c r="F12" s="16" t="n">
        <v>0.115</v>
      </c>
      <c r="G12" s="17" t="n">
        <v>1.02</v>
      </c>
      <c r="H12" s="13" t="inlineStr">
        <is>
          <t>FI-Infra</t>
        </is>
      </c>
    </row>
    <row r="13">
      <c r="A13" s="18" t="inlineStr">
        <is>
          <t>BVMF:TRXF11</t>
        </is>
      </c>
      <c r="B13" s="19" t="inlineStr">
        <is>
          <t>TRX Real Estate</t>
        </is>
      </c>
      <c r="C13" s="20" t="n">
        <v>108</v>
      </c>
      <c r="D13" s="20" t="n">
        <v>1.3</v>
      </c>
      <c r="E13" s="21">
        <f>IFERROR(ROUNDUP(C13/D13, 0), 0)</f>
        <v/>
      </c>
      <c r="F13" s="22" t="n">
        <v>0.1505</v>
      </c>
      <c r="G13" s="23" t="n">
        <v>0.82</v>
      </c>
      <c r="H13" s="19" t="inlineStr">
        <is>
          <t>Híbrido</t>
        </is>
      </c>
    </row>
    <row r="14">
      <c r="A14" s="12" t="inlineStr">
        <is>
          <t>BVMF:MXRF11</t>
        </is>
      </c>
      <c r="B14" s="13" t="inlineStr">
        <is>
          <t>Maxi Renda</t>
        </is>
      </c>
      <c r="C14" s="14" t="n">
        <v>10.25</v>
      </c>
      <c r="D14" s="14" t="n">
        <v>0.09</v>
      </c>
      <c r="E14" s="15">
        <f>IFERROR(ROUNDUP(C14/D14, 0), 0)</f>
        <v/>
      </c>
      <c r="F14" s="16" t="n">
        <v>0.129</v>
      </c>
      <c r="G14" s="17" t="n">
        <v>1</v>
      </c>
      <c r="H14" s="13" t="inlineStr">
        <is>
          <t>Híbrido</t>
        </is>
      </c>
    </row>
    <row r="15">
      <c r="A15" s="18" t="inlineStr">
        <is>
          <t>BVMF:KNRI11</t>
        </is>
      </c>
      <c r="B15" s="19" t="inlineStr">
        <is>
          <t>Kinea Renda Imobiliária</t>
        </is>
      </c>
      <c r="C15" s="20" t="n">
        <v>155</v>
      </c>
      <c r="D15" s="20" t="n">
        <v>1</v>
      </c>
      <c r="E15" s="21">
        <f>IFERROR(ROUNDUP(C15/D15, 0), 0)</f>
        <v/>
      </c>
      <c r="F15" s="22" t="n">
        <v>0.0857</v>
      </c>
      <c r="G15" s="23" t="n">
        <v>0.93</v>
      </c>
      <c r="H15" s="19" t="inlineStr">
        <is>
          <t>Híbrido</t>
        </is>
      </c>
    </row>
  </sheetData>
  <mergeCells count="3">
    <mergeCell ref="A3:H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2" customWidth="1" min="4" max="4"/>
    <col width="12" customWidth="1" min="5" max="5"/>
    <col width="17" customWidth="1" min="6" max="6"/>
    <col width="14" customWidth="1" min="7" max="7"/>
    <col width="34" customWidth="1" min="8" max="8"/>
    <col width="24" customWidth="1" min="9" max="9"/>
    <col width="34" customWidth="1" min="10" max="10"/>
    <col width="28" customWidth="1" min="11" max="11"/>
    <col width="28" customWidth="1" min="12" max="12"/>
    <col width="34" customWidth="1" min="13" max="13"/>
    <col width="34" customWidth="1" min="14" max="14"/>
  </cols>
  <sheetData>
    <row r="1">
      <c r="A1" s="1" t="inlineStr">
        <is>
          <t>📊 Simulador e Controle de Investimentos</t>
        </is>
      </c>
    </row>
    <row r="2">
      <c r="A2" s="2" t="inlineStr">
        <is>
          <t>Corretora: Rico</t>
        </is>
      </c>
    </row>
    <row r="3">
      <c r="A3" s="10" t="inlineStr">
        <is>
          <t>📌 REGRA PM: Custo Total = (Qtd * Preço) + Taxas. O PM é ajustado nas compras e mantido nas vendas.</t>
        </is>
      </c>
    </row>
    <row r="4">
      <c r="A4" t="inlineStr"/>
    </row>
    <row r="5">
      <c r="A5" s="11" t="inlineStr">
        <is>
          <t>Data</t>
        </is>
      </c>
      <c r="B5" s="11" t="inlineStr">
        <is>
          <t>Corretora</t>
        </is>
      </c>
      <c r="C5" s="11" t="inlineStr">
        <is>
          <t>Ticker</t>
        </is>
      </c>
      <c r="D5" s="11" t="inlineStr">
        <is>
          <t>Tipo</t>
        </is>
      </c>
      <c r="E5" s="11" t="inlineStr">
        <is>
          <t>Qtd</t>
        </is>
      </c>
      <c r="F5" s="11" t="inlineStr">
        <is>
          <t>Preço Compras</t>
        </is>
      </c>
      <c r="G5" s="11" t="inlineStr">
        <is>
          <t>Taxas (R$)</t>
        </is>
      </c>
      <c r="H5" s="11" t="inlineStr">
        <is>
          <t>Custo Total Compra</t>
        </is>
      </c>
      <c r="I5" s="11" t="inlineStr">
        <is>
          <t>Preço Médio (PM)</t>
        </is>
      </c>
      <c r="J5" s="11" t="inlineStr">
        <is>
          <t>Preço Atual</t>
        </is>
      </c>
      <c r="K5" s="11" t="inlineStr">
        <is>
          <t>Valor Atual</t>
        </is>
      </c>
      <c r="L5" s="11" t="inlineStr">
        <is>
          <t>Resultado</t>
        </is>
      </c>
      <c r="M5" s="11" t="inlineStr">
        <is>
          <t>Rentabilidade</t>
        </is>
      </c>
      <c r="N5" s="11" t="inlineStr">
        <is>
          <t>Segmento</t>
        </is>
      </c>
    </row>
    <row r="6">
      <c r="A6" s="18" t="inlineStr">
        <is>
          <t>2026-08-10</t>
        </is>
      </c>
      <c r="B6" s="18" t="inlineStr">
        <is>
          <t>Rico</t>
        </is>
      </c>
      <c r="C6" s="18" t="inlineStr">
        <is>
          <t>BVMF:KNCR11</t>
        </is>
      </c>
      <c r="D6" s="18" t="inlineStr">
        <is>
          <t>FII</t>
        </is>
      </c>
      <c r="E6" s="21" t="n">
        <v>100</v>
      </c>
      <c r="F6" s="20" t="n">
        <v>10.5</v>
      </c>
      <c r="G6" s="20" t="n">
        <v>1.5</v>
      </c>
      <c r="H6" s="20">
        <f>(E6*F6)+G6</f>
        <v/>
      </c>
      <c r="I6" s="20">
        <f>IFERROR(H6/E6, 0)</f>
        <v/>
      </c>
      <c r="J6" s="20">
        <f>IFERROR(VLOOKUP(C6, BASE_ATIVOS!$A$6:$H$100, 3, FALSE), 0)</f>
        <v/>
      </c>
      <c r="K6" s="20">
        <f>E6*J6</f>
        <v/>
      </c>
      <c r="L6" s="20">
        <f>K6-H6</f>
        <v/>
      </c>
      <c r="M6" s="22">
        <f>IFERROR(L6/H6, 0)</f>
        <v/>
      </c>
      <c r="N6" s="19">
        <f>IFERROR(VLOOKUP(C6, BASE_ATIVOS!$A$6:$H$100, 8, FALSE), "Outros")</f>
        <v/>
      </c>
    </row>
    <row r="7">
      <c r="A7" s="18" t="inlineStr">
        <is>
          <t>2026-08-12</t>
        </is>
      </c>
      <c r="B7" s="18" t="inlineStr">
        <is>
          <t>Rico</t>
        </is>
      </c>
      <c r="C7" s="18" t="inlineStr">
        <is>
          <t>BVMF:HGLG11</t>
        </is>
      </c>
      <c r="D7" s="18" t="inlineStr">
        <is>
          <t>FII</t>
        </is>
      </c>
      <c r="E7" s="21" t="n">
        <v>50</v>
      </c>
      <c r="F7" s="20" t="n">
        <v>160</v>
      </c>
      <c r="G7" s="20" t="n">
        <v>3.2</v>
      </c>
      <c r="H7" s="20">
        <f>(E7*F7)+G7</f>
        <v/>
      </c>
      <c r="I7" s="20">
        <f>IFERROR(H7/E7, 0)</f>
        <v/>
      </c>
      <c r="J7" s="20">
        <f>IFERROR(VLOOKUP(C7, BASE_ATIVOS!$A$6:$H$100, 3, FALSE), 0)</f>
        <v/>
      </c>
      <c r="K7" s="20">
        <f>E7*J7</f>
        <v/>
      </c>
      <c r="L7" s="20">
        <f>K7-H7</f>
        <v/>
      </c>
      <c r="M7" s="22">
        <f>IFERROR(L7/H7, 0)</f>
        <v/>
      </c>
      <c r="N7" s="19">
        <f>IFERROR(VLOOKUP(C7, BASE_ATIVOS!$A$6:$H$100, 8, FALSE), "Outros")</f>
        <v/>
      </c>
    </row>
    <row r="8">
      <c r="A8" s="18" t="inlineStr">
        <is>
          <t>2026-08-15</t>
        </is>
      </c>
      <c r="B8" s="18" t="inlineStr">
        <is>
          <t>Rico</t>
        </is>
      </c>
      <c r="C8" s="18" t="inlineStr">
        <is>
          <t>BVMF:MXRF11</t>
        </is>
      </c>
      <c r="D8" s="18" t="inlineStr">
        <is>
          <t>FII</t>
        </is>
      </c>
      <c r="E8" s="21" t="n">
        <v>500</v>
      </c>
      <c r="F8" s="20" t="n">
        <v>10.1</v>
      </c>
      <c r="G8" s="20" t="n">
        <v>2</v>
      </c>
      <c r="H8" s="20">
        <f>(E8*F8)+G8</f>
        <v/>
      </c>
      <c r="I8" s="20">
        <f>IFERROR(H8/E8, 0)</f>
        <v/>
      </c>
      <c r="J8" s="20">
        <f>IFERROR(VLOOKUP(C8, BASE_ATIVOS!$A$6:$H$100, 3, FALSE), 0)</f>
        <v/>
      </c>
      <c r="K8" s="20">
        <f>E8*J8</f>
        <v/>
      </c>
      <c r="L8" s="20">
        <f>K8-H8</f>
        <v/>
      </c>
      <c r="M8" s="22">
        <f>IFERROR(L8/H8, 0)</f>
        <v/>
      </c>
      <c r="N8" s="19">
        <f>IFERROR(VLOOKUP(C8, BASE_ATIVOS!$A$6:$H$100, 8, FALSE), "Outros")</f>
        <v/>
      </c>
    </row>
    <row r="9">
      <c r="A9" s="18" t="inlineStr">
        <is>
          <t>2026-08-18</t>
        </is>
      </c>
      <c r="B9" s="18" t="inlineStr">
        <is>
          <t>Rico</t>
        </is>
      </c>
      <c r="C9" s="18" t="inlineStr">
        <is>
          <t>BVMF:ISNT11</t>
        </is>
      </c>
      <c r="D9" s="18" t="inlineStr">
        <is>
          <t>FI-Infra</t>
        </is>
      </c>
      <c r="E9" s="21" t="n">
        <v>200</v>
      </c>
      <c r="F9" s="20" t="n">
        <v>100</v>
      </c>
      <c r="G9" s="20" t="n">
        <v>4</v>
      </c>
      <c r="H9" s="20">
        <f>(E9*F9)+G9</f>
        <v/>
      </c>
      <c r="I9" s="20">
        <f>IFERROR(H9/E9, 0)</f>
        <v/>
      </c>
      <c r="J9" s="20">
        <f>IFERROR(VLOOKUP(C9, BASE_ATIVOS!$A$6:$H$100, 3, FALSE), 0)</f>
        <v/>
      </c>
      <c r="K9" s="20">
        <f>E9*J9</f>
        <v/>
      </c>
      <c r="L9" s="20">
        <f>K9-H9</f>
        <v/>
      </c>
      <c r="M9" s="22">
        <f>IFERROR(L9/H9, 0)</f>
        <v/>
      </c>
      <c r="N9" s="19">
        <f>IFERROR(VLOOKUP(C9, BASE_ATIVOS!$A$6:$H$100, 8, FALSE), "Outros")</f>
        <v/>
      </c>
    </row>
    <row r="10">
      <c r="A10" s="19" t="n"/>
      <c r="B10" s="19" t="n"/>
      <c r="C10" s="19" t="n"/>
      <c r="D10" s="19" t="n"/>
      <c r="E10" s="21" t="n"/>
      <c r="F10" s="20" t="n"/>
      <c r="G10" s="20" t="n"/>
      <c r="H10" s="20">
        <f>IF(E10&lt;&gt;"", (E10*F10)+G10, 0)</f>
        <v/>
      </c>
      <c r="I10" s="20">
        <f>IFERROR(H10/E10, 0)</f>
        <v/>
      </c>
      <c r="J10" s="20">
        <f>IF(C10&lt;&gt;"", IFERROR(VLOOKUP(C10, BASE_ATIVOS!$A$6:$H$100, 3, FALSE), 0), 0)</f>
        <v/>
      </c>
      <c r="K10" s="20">
        <f>IF(E10&lt;&gt;"", E10*J10, 0)</f>
        <v/>
      </c>
      <c r="L10" s="20">
        <f>IF(E10&lt;&gt;"", K10-H10, 0)</f>
        <v/>
      </c>
      <c r="M10" s="22">
        <f>IFERROR(IF(H10&gt;0, L10/H10, 0), 0)</f>
        <v/>
      </c>
      <c r="N10" s="19">
        <f>IF(C10&lt;&gt;"", IFERROR(VLOOKUP(C10, BASE_ATIVOS!$A$6:$H$100, 8, FALSE), "Outros"), "")</f>
        <v/>
      </c>
    </row>
    <row r="11">
      <c r="A11" s="19" t="n"/>
      <c r="B11" s="19" t="n"/>
      <c r="C11" s="19" t="n"/>
      <c r="D11" s="19" t="n"/>
      <c r="E11" s="21" t="n"/>
      <c r="F11" s="20" t="n"/>
      <c r="G11" s="20" t="n"/>
      <c r="H11" s="20">
        <f>IF(E11&lt;&gt;"", (E11*F11)+G11, 0)</f>
        <v/>
      </c>
      <c r="I11" s="20">
        <f>IFERROR(H11/E11, 0)</f>
        <v/>
      </c>
      <c r="J11" s="20">
        <f>IF(C11&lt;&gt;"", IFERROR(VLOOKUP(C11, BASE_ATIVOS!$A$6:$H$100, 3, FALSE), 0), 0)</f>
        <v/>
      </c>
      <c r="K11" s="20">
        <f>IF(E11&lt;&gt;"", E11*J11, 0)</f>
        <v/>
      </c>
      <c r="L11" s="20">
        <f>IF(E11&lt;&gt;"", K11-H11, 0)</f>
        <v/>
      </c>
      <c r="M11" s="22">
        <f>IFERROR(IF(H11&gt;0, L11/H11, 0), 0)</f>
        <v/>
      </c>
      <c r="N11" s="19">
        <f>IF(C11&lt;&gt;"", IFERROR(VLOOKUP(C11, BASE_ATIVOS!$A$6:$H$100, 8, FALSE), "Outros"), "")</f>
        <v/>
      </c>
    </row>
    <row r="12">
      <c r="A12" s="19" t="n"/>
      <c r="B12" s="19" t="n"/>
      <c r="C12" s="19" t="n"/>
      <c r="D12" s="19" t="n"/>
      <c r="E12" s="21" t="n"/>
      <c r="F12" s="20" t="n"/>
      <c r="G12" s="20" t="n"/>
      <c r="H12" s="20">
        <f>IF(E12&lt;&gt;"", (E12*F12)+G12, 0)</f>
        <v/>
      </c>
      <c r="I12" s="20">
        <f>IFERROR(H12/E12, 0)</f>
        <v/>
      </c>
      <c r="J12" s="20">
        <f>IF(C12&lt;&gt;"", IFERROR(VLOOKUP(C12, BASE_ATIVOS!$A$6:$H$100, 3, FALSE), 0), 0)</f>
        <v/>
      </c>
      <c r="K12" s="20">
        <f>IF(E12&lt;&gt;"", E12*J12, 0)</f>
        <v/>
      </c>
      <c r="L12" s="20">
        <f>IF(E12&lt;&gt;"", K12-H12, 0)</f>
        <v/>
      </c>
      <c r="M12" s="22">
        <f>IFERROR(IF(H12&gt;0, L12/H12, 0), 0)</f>
        <v/>
      </c>
      <c r="N12" s="19">
        <f>IF(C12&lt;&gt;"", IFERROR(VLOOKUP(C12, BASE_ATIVOS!$A$6:$H$100, 8, FALSE), "Outros"), "")</f>
        <v/>
      </c>
    </row>
    <row r="13">
      <c r="A13" s="19" t="n"/>
      <c r="B13" s="19" t="n"/>
      <c r="C13" s="19" t="n"/>
      <c r="D13" s="19" t="n"/>
      <c r="E13" s="21" t="n"/>
      <c r="F13" s="20" t="n"/>
      <c r="G13" s="20" t="n"/>
      <c r="H13" s="20">
        <f>IF(E13&lt;&gt;"", (E13*F13)+G13, 0)</f>
        <v/>
      </c>
      <c r="I13" s="20">
        <f>IFERROR(H13/E13, 0)</f>
        <v/>
      </c>
      <c r="J13" s="20">
        <f>IF(C13&lt;&gt;"", IFERROR(VLOOKUP(C13, BASE_ATIVOS!$A$6:$H$100, 3, FALSE), 0), 0)</f>
        <v/>
      </c>
      <c r="K13" s="20">
        <f>IF(E13&lt;&gt;"", E13*J13, 0)</f>
        <v/>
      </c>
      <c r="L13" s="20">
        <f>IF(E13&lt;&gt;"", K13-H13, 0)</f>
        <v/>
      </c>
      <c r="M13" s="22">
        <f>IFERROR(IF(H13&gt;0, L13/H13, 0), 0)</f>
        <v/>
      </c>
      <c r="N13" s="19">
        <f>IF(C13&lt;&gt;"", IFERROR(VLOOKUP(C13, BASE_ATIVOS!$A$6:$H$100, 8, FALSE), "Outros"), "")</f>
        <v/>
      </c>
    </row>
    <row r="14">
      <c r="A14" s="19" t="n"/>
      <c r="B14" s="19" t="n"/>
      <c r="C14" s="19" t="n"/>
      <c r="D14" s="19" t="n"/>
      <c r="E14" s="21" t="n"/>
      <c r="F14" s="20" t="n"/>
      <c r="G14" s="20" t="n"/>
      <c r="H14" s="20">
        <f>IF(E14&lt;&gt;"", (E14*F14)+G14, 0)</f>
        <v/>
      </c>
      <c r="I14" s="20">
        <f>IFERROR(H14/E14, 0)</f>
        <v/>
      </c>
      <c r="J14" s="20">
        <f>IF(C14&lt;&gt;"", IFERROR(VLOOKUP(C14, BASE_ATIVOS!$A$6:$H$100, 3, FALSE), 0), 0)</f>
        <v/>
      </c>
      <c r="K14" s="20">
        <f>IF(E14&lt;&gt;"", E14*J14, 0)</f>
        <v/>
      </c>
      <c r="L14" s="20">
        <f>IF(E14&lt;&gt;"", K14-H14, 0)</f>
        <v/>
      </c>
      <c r="M14" s="22">
        <f>IFERROR(IF(H14&gt;0, L14/H14, 0), 0)</f>
        <v/>
      </c>
      <c r="N14" s="19">
        <f>IF(C14&lt;&gt;"", IFERROR(VLOOKUP(C14, BASE_ATIVOS!$A$6:$H$100, 8, FALSE), "Outros"), "")</f>
        <v/>
      </c>
    </row>
    <row r="15">
      <c r="A15" s="19" t="n"/>
      <c r="B15" s="19" t="n"/>
      <c r="C15" s="19" t="n"/>
      <c r="D15" s="19" t="n"/>
      <c r="E15" s="21" t="n"/>
      <c r="F15" s="20" t="n"/>
      <c r="G15" s="20" t="n"/>
      <c r="H15" s="20">
        <f>IF(E15&lt;&gt;"", (E15*F15)+G15, 0)</f>
        <v/>
      </c>
      <c r="I15" s="20">
        <f>IFERROR(H15/E15, 0)</f>
        <v/>
      </c>
      <c r="J15" s="20">
        <f>IF(C15&lt;&gt;"", IFERROR(VLOOKUP(C15, BASE_ATIVOS!$A$6:$H$100, 3, FALSE), 0), 0)</f>
        <v/>
      </c>
      <c r="K15" s="20">
        <f>IF(E15&lt;&gt;"", E15*J15, 0)</f>
        <v/>
      </c>
      <c r="L15" s="20">
        <f>IF(E15&lt;&gt;"", K15-H15, 0)</f>
        <v/>
      </c>
      <c r="M15" s="22">
        <f>IFERROR(IF(H15&gt;0, L15/H15, 0), 0)</f>
        <v/>
      </c>
      <c r="N15" s="19">
        <f>IF(C15&lt;&gt;"", IFERROR(VLOOKUP(C15, BASE_ATIVOS!$A$6:$H$100, 8, FALSE), "Outros"), "")</f>
        <v/>
      </c>
    </row>
    <row r="16">
      <c r="A16" s="19" t="n"/>
      <c r="B16" s="19" t="n"/>
      <c r="C16" s="19" t="n"/>
      <c r="D16" s="19" t="n"/>
      <c r="E16" s="21" t="n"/>
      <c r="F16" s="20" t="n"/>
      <c r="G16" s="20" t="n"/>
      <c r="H16" s="20">
        <f>IF(E16&lt;&gt;"", (E16*F16)+G16, 0)</f>
        <v/>
      </c>
      <c r="I16" s="20">
        <f>IFERROR(H16/E16, 0)</f>
        <v/>
      </c>
      <c r="J16" s="20">
        <f>IF(C16&lt;&gt;"", IFERROR(VLOOKUP(C16, BASE_ATIVOS!$A$6:$H$100, 3, FALSE), 0), 0)</f>
        <v/>
      </c>
      <c r="K16" s="20">
        <f>IF(E16&lt;&gt;"", E16*J16, 0)</f>
        <v/>
      </c>
      <c r="L16" s="20">
        <f>IF(E16&lt;&gt;"", K16-H16, 0)</f>
        <v/>
      </c>
      <c r="M16" s="22">
        <f>IFERROR(IF(H16&gt;0, L16/H16, 0), 0)</f>
        <v/>
      </c>
      <c r="N16" s="19">
        <f>IF(C16&lt;&gt;"", IFERROR(VLOOKUP(C16, BASE_ATIVOS!$A$6:$H$100, 8, FALSE), "Outros"), "")</f>
        <v/>
      </c>
    </row>
    <row r="17">
      <c r="A17" s="19" t="n"/>
      <c r="B17" s="19" t="n"/>
      <c r="C17" s="19" t="n"/>
      <c r="D17" s="19" t="n"/>
      <c r="E17" s="21" t="n"/>
      <c r="F17" s="20" t="n"/>
      <c r="G17" s="20" t="n"/>
      <c r="H17" s="20">
        <f>IF(E17&lt;&gt;"", (E17*F17)+G17, 0)</f>
        <v/>
      </c>
      <c r="I17" s="20">
        <f>IFERROR(H17/E17, 0)</f>
        <v/>
      </c>
      <c r="J17" s="20">
        <f>IF(C17&lt;&gt;"", IFERROR(VLOOKUP(C17, BASE_ATIVOS!$A$6:$H$100, 3, FALSE), 0), 0)</f>
        <v/>
      </c>
      <c r="K17" s="20">
        <f>IF(E17&lt;&gt;"", E17*J17, 0)</f>
        <v/>
      </c>
      <c r="L17" s="20">
        <f>IF(E17&lt;&gt;"", K17-H17, 0)</f>
        <v/>
      </c>
      <c r="M17" s="22">
        <f>IFERROR(IF(H17&gt;0, L17/H17, 0), 0)</f>
        <v/>
      </c>
      <c r="N17" s="19">
        <f>IF(C17&lt;&gt;"", IFERROR(VLOOKUP(C17, BASE_ATIVOS!$A$6:$H$100, 8, FALSE), "Outros"), "")</f>
        <v/>
      </c>
    </row>
    <row r="18">
      <c r="A18" s="19" t="n"/>
      <c r="B18" s="19" t="n"/>
      <c r="C18" s="19" t="n"/>
      <c r="D18" s="19" t="n"/>
      <c r="E18" s="21" t="n"/>
      <c r="F18" s="20" t="n"/>
      <c r="G18" s="20" t="n"/>
      <c r="H18" s="20">
        <f>IF(E18&lt;&gt;"", (E18*F18)+G18, 0)</f>
        <v/>
      </c>
      <c r="I18" s="20">
        <f>IFERROR(H18/E18, 0)</f>
        <v/>
      </c>
      <c r="J18" s="20">
        <f>IF(C18&lt;&gt;"", IFERROR(VLOOKUP(C18, BASE_ATIVOS!$A$6:$H$100, 3, FALSE), 0), 0)</f>
        <v/>
      </c>
      <c r="K18" s="20">
        <f>IF(E18&lt;&gt;"", E18*J18, 0)</f>
        <v/>
      </c>
      <c r="L18" s="20">
        <f>IF(E18&lt;&gt;"", K18-H18, 0)</f>
        <v/>
      </c>
      <c r="M18" s="22">
        <f>IFERROR(IF(H18&gt;0, L18/H18, 0), 0)</f>
        <v/>
      </c>
      <c r="N18" s="19">
        <f>IF(C18&lt;&gt;"", IFERROR(VLOOKUP(C18, BASE_ATIVOS!$A$6:$H$100, 8, FALSE), "Outros"), "")</f>
        <v/>
      </c>
    </row>
    <row r="19">
      <c r="A19" s="19" t="n"/>
      <c r="B19" s="19" t="n"/>
      <c r="C19" s="19" t="n"/>
      <c r="D19" s="19" t="n"/>
      <c r="E19" s="21" t="n"/>
      <c r="F19" s="20" t="n"/>
      <c r="G19" s="20" t="n"/>
      <c r="H19" s="20">
        <f>IF(E19&lt;&gt;"", (E19*F19)+G19, 0)</f>
        <v/>
      </c>
      <c r="I19" s="20">
        <f>IFERROR(H19/E19, 0)</f>
        <v/>
      </c>
      <c r="J19" s="20">
        <f>IF(C19&lt;&gt;"", IFERROR(VLOOKUP(C19, BASE_ATIVOS!$A$6:$H$100, 3, FALSE), 0), 0)</f>
        <v/>
      </c>
      <c r="K19" s="20">
        <f>IF(E19&lt;&gt;"", E19*J19, 0)</f>
        <v/>
      </c>
      <c r="L19" s="20">
        <f>IF(E19&lt;&gt;"", K19-H19, 0)</f>
        <v/>
      </c>
      <c r="M19" s="22">
        <f>IFERROR(IF(H19&gt;0, L19/H19, 0), 0)</f>
        <v/>
      </c>
      <c r="N19" s="19">
        <f>IF(C19&lt;&gt;"", IFERROR(VLOOKUP(C19, BASE_ATIVOS!$A$6:$H$100, 8, FALSE), "Outros"), "")</f>
        <v/>
      </c>
    </row>
    <row r="20">
      <c r="A20" s="19" t="n"/>
      <c r="B20" s="19" t="n"/>
      <c r="C20" s="19" t="n"/>
      <c r="D20" s="19" t="n"/>
      <c r="E20" s="21" t="n"/>
      <c r="F20" s="20" t="n"/>
      <c r="G20" s="20" t="n"/>
      <c r="H20" s="20">
        <f>IF(E20&lt;&gt;"", (E20*F20)+G20, 0)</f>
        <v/>
      </c>
      <c r="I20" s="20">
        <f>IFERROR(H20/E20, 0)</f>
        <v/>
      </c>
      <c r="J20" s="20">
        <f>IF(C20&lt;&gt;"", IFERROR(VLOOKUP(C20, BASE_ATIVOS!$A$6:$H$100, 3, FALSE), 0), 0)</f>
        <v/>
      </c>
      <c r="K20" s="20">
        <f>IF(E20&lt;&gt;"", E20*J20, 0)</f>
        <v/>
      </c>
      <c r="L20" s="20">
        <f>IF(E20&lt;&gt;"", K20-H20, 0)</f>
        <v/>
      </c>
      <c r="M20" s="22">
        <f>IFERROR(IF(H20&gt;0, L20/H20, 0), 0)</f>
        <v/>
      </c>
      <c r="N20" s="19">
        <f>IF(C20&lt;&gt;"", IFERROR(VLOOKUP(C20, BASE_ATIVOS!$A$6:$H$100, 8, FALSE), "Outros"), "")</f>
        <v/>
      </c>
    </row>
    <row r="21">
      <c r="A21" s="19" t="n"/>
      <c r="B21" s="19" t="n"/>
      <c r="C21" s="19" t="n"/>
      <c r="D21" s="19" t="n"/>
      <c r="E21" s="21" t="n"/>
      <c r="F21" s="20" t="n"/>
      <c r="G21" s="20" t="n"/>
      <c r="H21" s="20">
        <f>IF(E21&lt;&gt;"", (E21*F21)+G21, 0)</f>
        <v/>
      </c>
      <c r="I21" s="20">
        <f>IFERROR(H21/E21, 0)</f>
        <v/>
      </c>
      <c r="J21" s="20">
        <f>IF(C21&lt;&gt;"", IFERROR(VLOOKUP(C21, BASE_ATIVOS!$A$6:$H$100, 3, FALSE), 0), 0)</f>
        <v/>
      </c>
      <c r="K21" s="20">
        <f>IF(E21&lt;&gt;"", E21*J21, 0)</f>
        <v/>
      </c>
      <c r="L21" s="20">
        <f>IF(E21&lt;&gt;"", K21-H21, 0)</f>
        <v/>
      </c>
      <c r="M21" s="22">
        <f>IFERROR(IF(H21&gt;0, L21/H21, 0), 0)</f>
        <v/>
      </c>
      <c r="N21" s="19">
        <f>IF(C21&lt;&gt;"", IFERROR(VLOOKUP(C21, BASE_ATIVOS!$A$6:$H$100, 8, FALSE), "Outros"), "")</f>
        <v/>
      </c>
    </row>
    <row r="22">
      <c r="A22" s="19" t="n"/>
      <c r="B22" s="19" t="n"/>
      <c r="C22" s="19" t="n"/>
      <c r="D22" s="19" t="n"/>
      <c r="E22" s="21" t="n"/>
      <c r="F22" s="20" t="n"/>
      <c r="G22" s="20" t="n"/>
      <c r="H22" s="20">
        <f>IF(E22&lt;&gt;"", (E22*F22)+G22, 0)</f>
        <v/>
      </c>
      <c r="I22" s="20">
        <f>IFERROR(H22/E22, 0)</f>
        <v/>
      </c>
      <c r="J22" s="20">
        <f>IF(C22&lt;&gt;"", IFERROR(VLOOKUP(C22, BASE_ATIVOS!$A$6:$H$100, 3, FALSE), 0), 0)</f>
        <v/>
      </c>
      <c r="K22" s="20">
        <f>IF(E22&lt;&gt;"", E22*J22, 0)</f>
        <v/>
      </c>
      <c r="L22" s="20">
        <f>IF(E22&lt;&gt;"", K22-H22, 0)</f>
        <v/>
      </c>
      <c r="M22" s="22">
        <f>IFERROR(IF(H22&gt;0, L22/H22, 0), 0)</f>
        <v/>
      </c>
      <c r="N22" s="19">
        <f>IF(C22&lt;&gt;"", IFERROR(VLOOKUP(C22, BASE_ATIVOS!$A$6:$H$100, 8, FALSE), "Outros"), "")</f>
        <v/>
      </c>
    </row>
    <row r="23">
      <c r="A23" s="19" t="n"/>
      <c r="B23" s="19" t="n"/>
      <c r="C23" s="19" t="n"/>
      <c r="D23" s="19" t="n"/>
      <c r="E23" s="21" t="n"/>
      <c r="F23" s="20" t="n"/>
      <c r="G23" s="20" t="n"/>
      <c r="H23" s="20">
        <f>IF(E23&lt;&gt;"", (E23*F23)+G23, 0)</f>
        <v/>
      </c>
      <c r="I23" s="20">
        <f>IFERROR(H23/E23, 0)</f>
        <v/>
      </c>
      <c r="J23" s="20">
        <f>IF(C23&lt;&gt;"", IFERROR(VLOOKUP(C23, BASE_ATIVOS!$A$6:$H$100, 3, FALSE), 0), 0)</f>
        <v/>
      </c>
      <c r="K23" s="20">
        <f>IF(E23&lt;&gt;"", E23*J23, 0)</f>
        <v/>
      </c>
      <c r="L23" s="20">
        <f>IF(E23&lt;&gt;"", K23-H23, 0)</f>
        <v/>
      </c>
      <c r="M23" s="22">
        <f>IFERROR(IF(H23&gt;0, L23/H23, 0), 0)</f>
        <v/>
      </c>
      <c r="N23" s="19">
        <f>IF(C23&lt;&gt;"", IFERROR(VLOOKUP(C23, BASE_ATIVOS!$A$6:$H$100, 8, FALSE), "Outros"), "")</f>
        <v/>
      </c>
    </row>
    <row r="24">
      <c r="A24" s="19" t="n"/>
      <c r="B24" s="19" t="n"/>
      <c r="C24" s="19" t="n"/>
      <c r="D24" s="19" t="n"/>
      <c r="E24" s="21" t="n"/>
      <c r="F24" s="20" t="n"/>
      <c r="G24" s="20" t="n"/>
      <c r="H24" s="20">
        <f>IF(E24&lt;&gt;"", (E24*F24)+G24, 0)</f>
        <v/>
      </c>
      <c r="I24" s="20">
        <f>IFERROR(H24/E24, 0)</f>
        <v/>
      </c>
      <c r="J24" s="20">
        <f>IF(C24&lt;&gt;"", IFERROR(VLOOKUP(C24, BASE_ATIVOS!$A$6:$H$100, 3, FALSE), 0), 0)</f>
        <v/>
      </c>
      <c r="K24" s="20">
        <f>IF(E24&lt;&gt;"", E24*J24, 0)</f>
        <v/>
      </c>
      <c r="L24" s="20">
        <f>IF(E24&lt;&gt;"", K24-H24, 0)</f>
        <v/>
      </c>
      <c r="M24" s="22">
        <f>IFERROR(IF(H24&gt;0, L24/H24, 0), 0)</f>
        <v/>
      </c>
      <c r="N24" s="19">
        <f>IF(C24&lt;&gt;"", IFERROR(VLOOKUP(C24, BASE_ATIVOS!$A$6:$H$100, 8, FALSE), "Outros"), "")</f>
        <v/>
      </c>
    </row>
    <row r="25">
      <c r="A25" s="19" t="n"/>
      <c r="B25" s="19" t="n"/>
      <c r="C25" s="19" t="n"/>
      <c r="D25" s="19" t="n"/>
      <c r="E25" s="21" t="n"/>
      <c r="F25" s="20" t="n"/>
      <c r="G25" s="20" t="n"/>
      <c r="H25" s="20">
        <f>IF(E25&lt;&gt;"", (E25*F25)+G25, 0)</f>
        <v/>
      </c>
      <c r="I25" s="20">
        <f>IFERROR(H25/E25, 0)</f>
        <v/>
      </c>
      <c r="J25" s="20">
        <f>IF(C25&lt;&gt;"", IFERROR(VLOOKUP(C25, BASE_ATIVOS!$A$6:$H$100, 3, FALSE), 0), 0)</f>
        <v/>
      </c>
      <c r="K25" s="20">
        <f>IF(E25&lt;&gt;"", E25*J25, 0)</f>
        <v/>
      </c>
      <c r="L25" s="20">
        <f>IF(E25&lt;&gt;"", K25-H25, 0)</f>
        <v/>
      </c>
      <c r="M25" s="22">
        <f>IFERROR(IF(H25&gt;0, L25/H25, 0), 0)</f>
        <v/>
      </c>
      <c r="N25" s="19">
        <f>IF(C25&lt;&gt;"", IFERROR(VLOOKUP(C25, BASE_ATIVOS!$A$6:$H$100, 8, FALSE), "Outros"), "")</f>
        <v/>
      </c>
    </row>
    <row r="26">
      <c r="A26" s="19" t="n"/>
      <c r="B26" s="19" t="n"/>
      <c r="C26" s="19" t="n"/>
      <c r="D26" s="19" t="n"/>
      <c r="E26" s="21" t="n"/>
      <c r="F26" s="20" t="n"/>
      <c r="G26" s="20" t="n"/>
      <c r="H26" s="20">
        <f>IF(E26&lt;&gt;"", (E26*F26)+G26, 0)</f>
        <v/>
      </c>
      <c r="I26" s="20">
        <f>IFERROR(H26/E26, 0)</f>
        <v/>
      </c>
      <c r="J26" s="20">
        <f>IF(C26&lt;&gt;"", IFERROR(VLOOKUP(C26, BASE_ATIVOS!$A$6:$H$100, 3, FALSE), 0), 0)</f>
        <v/>
      </c>
      <c r="K26" s="20">
        <f>IF(E26&lt;&gt;"", E26*J26, 0)</f>
        <v/>
      </c>
      <c r="L26" s="20">
        <f>IF(E26&lt;&gt;"", K26-H26, 0)</f>
        <v/>
      </c>
      <c r="M26" s="22">
        <f>IFERROR(IF(H26&gt;0, L26/H26, 0), 0)</f>
        <v/>
      </c>
      <c r="N26" s="19">
        <f>IF(C26&lt;&gt;"", IFERROR(VLOOKUP(C26, BASE_ATIVOS!$A$6:$H$100, 8, FALSE), "Outros"), "")</f>
        <v/>
      </c>
    </row>
    <row r="27">
      <c r="A27" s="19" t="n"/>
      <c r="B27" s="19" t="n"/>
      <c r="C27" s="19" t="n"/>
      <c r="D27" s="19" t="n"/>
      <c r="E27" s="21" t="n"/>
      <c r="F27" s="20" t="n"/>
      <c r="G27" s="20" t="n"/>
      <c r="H27" s="20">
        <f>IF(E27&lt;&gt;"", (E27*F27)+G27, 0)</f>
        <v/>
      </c>
      <c r="I27" s="20">
        <f>IFERROR(H27/E27, 0)</f>
        <v/>
      </c>
      <c r="J27" s="20">
        <f>IF(C27&lt;&gt;"", IFERROR(VLOOKUP(C27, BASE_ATIVOS!$A$6:$H$100, 3, FALSE), 0), 0)</f>
        <v/>
      </c>
      <c r="K27" s="20">
        <f>IF(E27&lt;&gt;"", E27*J27, 0)</f>
        <v/>
      </c>
      <c r="L27" s="20">
        <f>IF(E27&lt;&gt;"", K27-H27, 0)</f>
        <v/>
      </c>
      <c r="M27" s="22">
        <f>IFERROR(IF(H27&gt;0, L27/H27, 0), 0)</f>
        <v/>
      </c>
      <c r="N27" s="19">
        <f>IF(C27&lt;&gt;"", IFERROR(VLOOKUP(C27, BASE_ATIVOS!$A$6:$H$100, 8, FALSE), "Outros"), "")</f>
        <v/>
      </c>
    </row>
    <row r="28">
      <c r="A28" s="19" t="n"/>
      <c r="B28" s="19" t="n"/>
      <c r="C28" s="19" t="n"/>
      <c r="D28" s="19" t="n"/>
      <c r="E28" s="21" t="n"/>
      <c r="F28" s="20" t="n"/>
      <c r="G28" s="20" t="n"/>
      <c r="H28" s="20">
        <f>IF(E28&lt;&gt;"", (E28*F28)+G28, 0)</f>
        <v/>
      </c>
      <c r="I28" s="20">
        <f>IFERROR(H28/E28, 0)</f>
        <v/>
      </c>
      <c r="J28" s="20">
        <f>IF(C28&lt;&gt;"", IFERROR(VLOOKUP(C28, BASE_ATIVOS!$A$6:$H$100, 3, FALSE), 0), 0)</f>
        <v/>
      </c>
      <c r="K28" s="20">
        <f>IF(E28&lt;&gt;"", E28*J28, 0)</f>
        <v/>
      </c>
      <c r="L28" s="20">
        <f>IF(E28&lt;&gt;"", K28-H28, 0)</f>
        <v/>
      </c>
      <c r="M28" s="22">
        <f>IFERROR(IF(H28&gt;0, L28/H28, 0), 0)</f>
        <v/>
      </c>
      <c r="N28" s="19">
        <f>IF(C28&lt;&gt;"", IFERROR(VLOOKUP(C28, BASE_ATIVOS!$A$6:$H$100, 8, FALSE), "Outros"), "")</f>
        <v/>
      </c>
    </row>
    <row r="29">
      <c r="A29" s="19" t="n"/>
      <c r="B29" s="19" t="n"/>
      <c r="C29" s="19" t="n"/>
      <c r="D29" s="19" t="n"/>
      <c r="E29" s="21" t="n"/>
      <c r="F29" s="20" t="n"/>
      <c r="G29" s="20" t="n"/>
      <c r="H29" s="20">
        <f>IF(E29&lt;&gt;"", (E29*F29)+G29, 0)</f>
        <v/>
      </c>
      <c r="I29" s="20">
        <f>IFERROR(H29/E29, 0)</f>
        <v/>
      </c>
      <c r="J29" s="20">
        <f>IF(C29&lt;&gt;"", IFERROR(VLOOKUP(C29, BASE_ATIVOS!$A$6:$H$100, 3, FALSE), 0), 0)</f>
        <v/>
      </c>
      <c r="K29" s="20">
        <f>IF(E29&lt;&gt;"", E29*J29, 0)</f>
        <v/>
      </c>
      <c r="L29" s="20">
        <f>IF(E29&lt;&gt;"", K29-H29, 0)</f>
        <v/>
      </c>
      <c r="M29" s="22">
        <f>IFERROR(IF(H29&gt;0, L29/H29, 0), 0)</f>
        <v/>
      </c>
      <c r="N29" s="19">
        <f>IF(C29&lt;&gt;"", IFERROR(VLOOKUP(C29, BASE_ATIVOS!$A$6:$H$100, 8, FALSE), "Outros"), "")</f>
        <v/>
      </c>
    </row>
  </sheetData>
  <mergeCells count="3">
    <mergeCell ref="A2:G2"/>
    <mergeCell ref="A1:G1"/>
    <mergeCell ref="A3:K3"/>
  </mergeCells>
  <dataValidations count="3">
    <dataValidation sqref="B6:B30 C5:C30" showDropDown="0" showInputMessage="0" showErrorMessage="0" allowBlank="1" type="list">
      <formula1>=LISTAS!$A$2:$A$8</formula1>
    </dataValidation>
    <dataValidation sqref="D6:D30" showDropDown="0" showInputMessage="0" showErrorMessage="0" allowBlank="1" type="list">
      <formula1>=LISTAS!$B$2:$B$7</formula1>
    </dataValidation>
    <dataValidation sqref="C6:C30 D5:D30" showDropDown="0" showInputMessage="0" showErrorMessage="0" allowBlank="1" type="list">
      <formula1>=BASE_ATIVOS!$A$6:$A$20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5" customWidth="1" min="4" max="4"/>
    <col width="13" customWidth="1" min="5" max="5"/>
    <col width="23" customWidth="1" min="6" max="6"/>
    <col width="28" customWidth="1" min="7" max="7"/>
  </cols>
  <sheetData>
    <row r="1">
      <c r="A1" s="1" t="inlineStr">
        <is>
          <t>📊 Simulador e Controle de Investimentos</t>
        </is>
      </c>
    </row>
    <row r="2">
      <c r="A2" s="2" t="inlineStr">
        <is>
          <t>Corretora: Rico</t>
        </is>
      </c>
    </row>
    <row r="3">
      <c r="A3" t="inlineStr"/>
    </row>
    <row r="4">
      <c r="A4" s="11" t="inlineStr">
        <is>
          <t>Data</t>
        </is>
      </c>
      <c r="B4" s="11" t="inlineStr">
        <is>
          <t>Mês</t>
        </is>
      </c>
      <c r="C4" s="11" t="inlineStr">
        <is>
          <t>Corretora</t>
        </is>
      </c>
      <c r="D4" s="11" t="inlineStr">
        <is>
          <t>Ticker</t>
        </is>
      </c>
      <c r="E4" s="11" t="inlineStr">
        <is>
          <t>Qtd Cotas</t>
        </is>
      </c>
      <c r="F4" s="11" t="inlineStr">
        <is>
          <t>Rendimento por Cota</t>
        </is>
      </c>
      <c r="G4" s="11" t="inlineStr">
        <is>
          <t>Renda Total Recebida</t>
        </is>
      </c>
    </row>
    <row r="5">
      <c r="A5" s="18" t="inlineStr">
        <is>
          <t>2026-08-15</t>
        </is>
      </c>
      <c r="B5" s="18" t="inlineStr">
        <is>
          <t>Agosto</t>
        </is>
      </c>
      <c r="C5" s="18" t="inlineStr">
        <is>
          <t>Rico</t>
        </is>
      </c>
      <c r="D5" s="18" t="inlineStr">
        <is>
          <t>BVMF:KNCR11</t>
        </is>
      </c>
      <c r="E5" s="21" t="n">
        <v>100</v>
      </c>
      <c r="F5" s="20" t="n">
        <v>0.12</v>
      </c>
      <c r="G5" s="20">
        <f>E5*F5</f>
        <v/>
      </c>
    </row>
    <row r="6">
      <c r="A6" s="18" t="inlineStr">
        <is>
          <t>2026-08-15</t>
        </is>
      </c>
      <c r="B6" s="18" t="inlineStr">
        <is>
          <t>Agosto</t>
        </is>
      </c>
      <c r="C6" s="18" t="inlineStr">
        <is>
          <t>Rico</t>
        </is>
      </c>
      <c r="D6" s="18" t="inlineStr">
        <is>
          <t>BVMF:HGLG11</t>
        </is>
      </c>
      <c r="E6" s="21" t="n">
        <v>50</v>
      </c>
      <c r="F6" s="20" t="n">
        <v>1.1</v>
      </c>
      <c r="G6" s="20">
        <f>E6*F6</f>
        <v/>
      </c>
    </row>
    <row r="7">
      <c r="A7" s="18" t="inlineStr">
        <is>
          <t>2026-08-15</t>
        </is>
      </c>
      <c r="B7" s="18" t="inlineStr">
        <is>
          <t>Agosto</t>
        </is>
      </c>
      <c r="C7" s="18" t="inlineStr">
        <is>
          <t>Rico</t>
        </is>
      </c>
      <c r="D7" s="18" t="inlineStr">
        <is>
          <t>BVMF:MXRF11</t>
        </is>
      </c>
      <c r="E7" s="21" t="n">
        <v>500</v>
      </c>
      <c r="F7" s="20" t="n">
        <v>0.09</v>
      </c>
      <c r="G7" s="20">
        <f>E7*F7</f>
        <v/>
      </c>
    </row>
    <row r="8">
      <c r="A8" s="19" t="n"/>
      <c r="B8" s="19" t="n"/>
      <c r="C8" s="19" t="n"/>
      <c r="D8" s="19" t="n"/>
      <c r="E8" s="21" t="n"/>
      <c r="F8" s="20" t="n"/>
      <c r="G8" s="20">
        <f>IF(E8&lt;&gt;"", E8*F8, 0)</f>
        <v/>
      </c>
    </row>
    <row r="9">
      <c r="A9" s="19" t="n"/>
      <c r="B9" s="19" t="n"/>
      <c r="C9" s="19" t="n"/>
      <c r="D9" s="19" t="n"/>
      <c r="E9" s="21" t="n"/>
      <c r="F9" s="20" t="n"/>
      <c r="G9" s="20">
        <f>IF(E9&lt;&gt;"", E9*F9, 0)</f>
        <v/>
      </c>
    </row>
    <row r="10">
      <c r="A10" s="19" t="n"/>
      <c r="B10" s="19" t="n"/>
      <c r="C10" s="19" t="n"/>
      <c r="D10" s="19" t="n"/>
      <c r="E10" s="21" t="n"/>
      <c r="F10" s="20" t="n"/>
      <c r="G10" s="20">
        <f>IF(E10&lt;&gt;"", E10*F10, 0)</f>
        <v/>
      </c>
    </row>
    <row r="11">
      <c r="A11" s="19" t="n"/>
      <c r="B11" s="19" t="n"/>
      <c r="C11" s="19" t="n"/>
      <c r="D11" s="19" t="n"/>
      <c r="E11" s="21" t="n"/>
      <c r="F11" s="20" t="n"/>
      <c r="G11" s="20">
        <f>IF(E11&lt;&gt;"", E11*F11, 0)</f>
        <v/>
      </c>
    </row>
    <row r="12">
      <c r="A12" s="19" t="n"/>
      <c r="B12" s="19" t="n"/>
      <c r="C12" s="19" t="n"/>
      <c r="D12" s="19" t="n"/>
      <c r="E12" s="21" t="n"/>
      <c r="F12" s="20" t="n"/>
      <c r="G12" s="20">
        <f>IF(E12&lt;&gt;"", E12*F12, 0)</f>
        <v/>
      </c>
    </row>
    <row r="13">
      <c r="A13" s="19" t="n"/>
      <c r="B13" s="19" t="n"/>
      <c r="C13" s="19" t="n"/>
      <c r="D13" s="19" t="n"/>
      <c r="E13" s="21" t="n"/>
      <c r="F13" s="20" t="n"/>
      <c r="G13" s="20">
        <f>IF(E13&lt;&gt;"", E13*F13, 0)</f>
        <v/>
      </c>
    </row>
    <row r="14">
      <c r="A14" s="19" t="n"/>
      <c r="B14" s="19" t="n"/>
      <c r="C14" s="19" t="n"/>
      <c r="D14" s="19" t="n"/>
      <c r="E14" s="21" t="n"/>
      <c r="F14" s="20" t="n"/>
      <c r="G14" s="20">
        <f>IF(E14&lt;&gt;"", E14*F14, 0)</f>
        <v/>
      </c>
    </row>
    <row r="15">
      <c r="A15" s="19" t="n"/>
      <c r="B15" s="19" t="n"/>
      <c r="C15" s="19" t="n"/>
      <c r="D15" s="19" t="n"/>
      <c r="E15" s="21" t="n"/>
      <c r="F15" s="20" t="n"/>
      <c r="G15" s="20">
        <f>IF(E15&lt;&gt;"", E15*F15, 0)</f>
        <v/>
      </c>
    </row>
    <row r="16">
      <c r="A16" s="19" t="n"/>
      <c r="B16" s="19" t="n"/>
      <c r="C16" s="19" t="n"/>
      <c r="D16" s="19" t="n"/>
      <c r="E16" s="21" t="n"/>
      <c r="F16" s="20" t="n"/>
      <c r="G16" s="20">
        <f>IF(E16&lt;&gt;"", E16*F16, 0)</f>
        <v/>
      </c>
    </row>
    <row r="17">
      <c r="A17" s="19" t="n"/>
      <c r="B17" s="19" t="n"/>
      <c r="C17" s="19" t="n"/>
      <c r="D17" s="19" t="n"/>
      <c r="E17" s="21" t="n"/>
      <c r="F17" s="20" t="n"/>
      <c r="G17" s="20">
        <f>IF(E17&lt;&gt;"", E17*F17, 0)</f>
        <v/>
      </c>
    </row>
    <row r="18">
      <c r="A18" s="19" t="n"/>
      <c r="B18" s="19" t="n"/>
      <c r="C18" s="19" t="n"/>
      <c r="D18" s="19" t="n"/>
      <c r="E18" s="21" t="n"/>
      <c r="F18" s="20" t="n"/>
      <c r="G18" s="20">
        <f>IF(E18&lt;&gt;"", E18*F18, 0)</f>
        <v/>
      </c>
    </row>
    <row r="19">
      <c r="A19" s="19" t="n"/>
      <c r="B19" s="19" t="n"/>
      <c r="C19" s="19" t="n"/>
      <c r="D19" s="19" t="n"/>
      <c r="E19" s="21" t="n"/>
      <c r="F19" s="20" t="n"/>
      <c r="G19" s="20">
        <f>IF(E19&lt;&gt;"", E19*F19, 0)</f>
        <v/>
      </c>
    </row>
    <row r="20">
      <c r="A20" s="19" t="n"/>
      <c r="B20" s="19" t="n"/>
      <c r="C20" s="19" t="n"/>
      <c r="D20" s="19" t="n"/>
      <c r="E20" s="21" t="n"/>
      <c r="F20" s="20" t="n"/>
      <c r="G20" s="20">
        <f>IF(E20&lt;&gt;"", E20*F20, 0)</f>
        <v/>
      </c>
    </row>
    <row r="21">
      <c r="A21" s="19" t="n"/>
      <c r="B21" s="19" t="n"/>
      <c r="C21" s="19" t="n"/>
      <c r="D21" s="19" t="n"/>
      <c r="E21" s="21" t="n"/>
      <c r="F21" s="20" t="n"/>
      <c r="G21" s="20">
        <f>IF(E21&lt;&gt;"", E21*F21, 0)</f>
        <v/>
      </c>
    </row>
    <row r="22">
      <c r="A22" s="19" t="n"/>
      <c r="B22" s="19" t="n"/>
      <c r="C22" s="19" t="n"/>
      <c r="D22" s="19" t="n"/>
      <c r="E22" s="21" t="n"/>
      <c r="F22" s="20" t="n"/>
      <c r="G22" s="20">
        <f>IF(E22&lt;&gt;"", E22*F22, 0)</f>
        <v/>
      </c>
    </row>
    <row r="23">
      <c r="A23" s="19" t="n"/>
      <c r="B23" s="19" t="n"/>
      <c r="C23" s="19" t="n"/>
      <c r="D23" s="19" t="n"/>
      <c r="E23" s="21" t="n"/>
      <c r="F23" s="20" t="n"/>
      <c r="G23" s="20">
        <f>IF(E23&lt;&gt;"", E23*F23, 0)</f>
        <v/>
      </c>
    </row>
    <row r="24">
      <c r="A24" s="19" t="n"/>
      <c r="B24" s="19" t="n"/>
      <c r="C24" s="19" t="n"/>
      <c r="D24" s="19" t="n"/>
      <c r="E24" s="21" t="n"/>
      <c r="F24" s="20" t="n"/>
      <c r="G24" s="20">
        <f>IF(E24&lt;&gt;"", E24*F24, 0)</f>
        <v/>
      </c>
    </row>
    <row r="25">
      <c r="A25" s="19" t="n"/>
      <c r="B25" s="19" t="n"/>
      <c r="C25" s="19" t="n"/>
      <c r="D25" s="19" t="n"/>
      <c r="E25" s="21" t="n"/>
      <c r="F25" s="20" t="n"/>
      <c r="G25" s="20">
        <f>IF(E25&lt;&gt;"", E25*F25, 0)</f>
        <v/>
      </c>
    </row>
    <row r="26">
      <c r="A26" s="19" t="n"/>
      <c r="B26" s="19" t="n"/>
      <c r="C26" s="19" t="n"/>
      <c r="D26" s="19" t="n"/>
      <c r="E26" s="21" t="n"/>
      <c r="F26" s="20" t="n"/>
      <c r="G26" s="20">
        <f>IF(E26&lt;&gt;"", E26*F26, 0)</f>
        <v/>
      </c>
    </row>
    <row r="27">
      <c r="A27" s="19" t="n"/>
      <c r="B27" s="19" t="n"/>
      <c r="C27" s="19" t="n"/>
      <c r="D27" s="19" t="n"/>
      <c r="E27" s="21" t="n"/>
      <c r="F27" s="20" t="n"/>
      <c r="G27" s="20">
        <f>IF(E27&lt;&gt;"", E27*F27, 0)</f>
        <v/>
      </c>
    </row>
    <row r="28">
      <c r="A28" s="19" t="n"/>
      <c r="B28" s="19" t="n"/>
      <c r="C28" s="19" t="n"/>
      <c r="D28" s="19" t="n"/>
      <c r="E28" s="21" t="n"/>
      <c r="F28" s="20" t="n"/>
      <c r="G28" s="20">
        <f>IF(E28&lt;&gt;"", E28*F28, 0)</f>
        <v/>
      </c>
    </row>
    <row r="29">
      <c r="A29" s="19" t="n"/>
      <c r="B29" s="19" t="n"/>
      <c r="C29" s="19" t="n"/>
      <c r="D29" s="19" t="n"/>
      <c r="E29" s="21" t="n"/>
      <c r="F29" s="20" t="n"/>
      <c r="G29" s="20">
        <f>IF(E29&lt;&gt;"", E29*F29, 0)</f>
        <v/>
      </c>
    </row>
  </sheetData>
  <mergeCells count="2">
    <mergeCell ref="A2:G2"/>
    <mergeCell ref="A1:G1"/>
  </mergeCells>
  <dataValidations count="2">
    <dataValidation sqref="B6:B30 C5:C30" showDropDown="0" showInputMessage="0" showErrorMessage="0" allowBlank="1" type="list">
      <formula1>=LISTAS!$A$2:$A$8</formula1>
    </dataValidation>
    <dataValidation sqref="C6:C30 D5:D30" showDropDown="0" showInputMessage="0" showErrorMessage="0" allowBlank="1" type="list">
      <formula1>=BASE_ATIVOS!$A$6:$A$20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4" customWidth="1" min="4" max="4"/>
    <col width="31" customWidth="1" min="5" max="5"/>
    <col width="12" customWidth="1" min="6" max="6"/>
    <col width="12" customWidth="1" min="7" max="7"/>
  </cols>
  <sheetData>
    <row r="1">
      <c r="A1" s="1" t="inlineStr">
        <is>
          <t>📊 Simulador e Controle de Investimentos</t>
        </is>
      </c>
    </row>
    <row r="2">
      <c r="A2" s="2" t="inlineStr">
        <is>
          <t>Corretora: Rico</t>
        </is>
      </c>
    </row>
    <row r="3">
      <c r="A3" t="inlineStr"/>
    </row>
    <row r="4">
      <c r="A4" s="11" t="inlineStr">
        <is>
          <t>Data</t>
        </is>
      </c>
      <c r="B4" s="11" t="inlineStr">
        <is>
          <t>Mês</t>
        </is>
      </c>
      <c r="C4" s="11" t="inlineStr">
        <is>
          <t>Corretora</t>
        </is>
      </c>
      <c r="D4" s="11" t="inlineStr">
        <is>
          <t>Valor (R$)</t>
        </is>
      </c>
      <c r="E4" s="11" t="inlineStr">
        <is>
          <t>Obs / Origem</t>
        </is>
      </c>
      <c r="F4" s="11" t="n"/>
      <c r="G4" s="11" t="n"/>
    </row>
    <row r="5">
      <c r="A5" s="18" t="inlineStr">
        <is>
          <t>2026-08-05</t>
        </is>
      </c>
      <c r="B5" s="18" t="inlineStr">
        <is>
          <t>Agosto</t>
        </is>
      </c>
      <c r="C5" s="18" t="inlineStr">
        <is>
          <t>Rico</t>
        </is>
      </c>
      <c r="D5" s="20" t="n">
        <v>500</v>
      </c>
      <c r="E5" s="19" t="inlineStr">
        <is>
          <t>Aporte mensal regular</t>
        </is>
      </c>
    </row>
    <row r="6">
      <c r="A6" s="18" t="inlineStr">
        <is>
          <t>2026-09-05</t>
        </is>
      </c>
      <c r="B6" s="18" t="inlineStr">
        <is>
          <t>Setembro</t>
        </is>
      </c>
      <c r="C6" s="18" t="inlineStr">
        <is>
          <t>Rico</t>
        </is>
      </c>
      <c r="D6" s="20" t="n">
        <v>500</v>
      </c>
      <c r="E6" s="19" t="inlineStr">
        <is>
          <t>Aporte mensal regular</t>
        </is>
      </c>
    </row>
    <row r="7">
      <c r="A7" s="18" t="inlineStr">
        <is>
          <t>2026-10-05</t>
        </is>
      </c>
      <c r="B7" s="18" t="inlineStr">
        <is>
          <t>Outubro</t>
        </is>
      </c>
      <c r="C7" s="18" t="inlineStr">
        <is>
          <t>Rico</t>
        </is>
      </c>
      <c r="D7" s="20" t="n">
        <v>600</v>
      </c>
      <c r="E7" s="19" t="inlineStr">
        <is>
          <t>Aporte + sobra de orçamento</t>
        </is>
      </c>
    </row>
    <row r="8">
      <c r="A8" s="19" t="n"/>
      <c r="B8" s="19" t="n"/>
      <c r="C8" s="19" t="n"/>
      <c r="D8" s="20" t="n"/>
      <c r="E8" s="19" t="n"/>
    </row>
    <row r="9">
      <c r="A9" s="19" t="n"/>
      <c r="B9" s="19" t="n"/>
      <c r="C9" s="19" t="n"/>
      <c r="D9" s="20" t="n"/>
      <c r="E9" s="19" t="n"/>
    </row>
    <row r="10">
      <c r="A10" s="19" t="n"/>
      <c r="B10" s="19" t="n"/>
      <c r="C10" s="19" t="n"/>
      <c r="D10" s="20" t="n"/>
      <c r="E10" s="19" t="n"/>
    </row>
    <row r="11">
      <c r="A11" s="19" t="n"/>
      <c r="B11" s="19" t="n"/>
      <c r="C11" s="19" t="n"/>
      <c r="D11" s="20" t="n"/>
      <c r="E11" s="19" t="n"/>
    </row>
    <row r="12">
      <c r="A12" s="19" t="n"/>
      <c r="B12" s="19" t="n"/>
      <c r="C12" s="19" t="n"/>
      <c r="D12" s="20" t="n"/>
      <c r="E12" s="19" t="n"/>
    </row>
    <row r="13">
      <c r="A13" s="19" t="n"/>
      <c r="B13" s="19" t="n"/>
      <c r="C13" s="19" t="n"/>
      <c r="D13" s="20" t="n"/>
      <c r="E13" s="19" t="n"/>
    </row>
    <row r="14">
      <c r="A14" s="19" t="n"/>
      <c r="B14" s="19" t="n"/>
      <c r="C14" s="19" t="n"/>
      <c r="D14" s="20" t="n"/>
      <c r="E14" s="19" t="n"/>
    </row>
    <row r="15">
      <c r="A15" s="19" t="n"/>
      <c r="B15" s="19" t="n"/>
      <c r="C15" s="19" t="n"/>
      <c r="D15" s="20" t="n"/>
      <c r="E15" s="19" t="n"/>
    </row>
    <row r="16">
      <c r="A16" s="19" t="n"/>
      <c r="B16" s="19" t="n"/>
      <c r="C16" s="19" t="n"/>
      <c r="D16" s="20" t="n"/>
      <c r="E16" s="19" t="n"/>
    </row>
    <row r="17">
      <c r="A17" s="19" t="n"/>
      <c r="B17" s="19" t="n"/>
      <c r="C17" s="19" t="n"/>
      <c r="D17" s="20" t="n"/>
      <c r="E17" s="19" t="n"/>
    </row>
    <row r="18">
      <c r="A18" s="19" t="n"/>
      <c r="B18" s="19" t="n"/>
      <c r="C18" s="19" t="n"/>
      <c r="D18" s="20" t="n"/>
      <c r="E18" s="19" t="n"/>
    </row>
    <row r="19">
      <c r="A19" s="19" t="n"/>
      <c r="B19" s="19" t="n"/>
      <c r="C19" s="19" t="n"/>
      <c r="D19" s="20" t="n"/>
      <c r="E19" s="19" t="n"/>
    </row>
    <row r="20">
      <c r="A20" s="19" t="n"/>
      <c r="B20" s="19" t="n"/>
      <c r="C20" s="19" t="n"/>
      <c r="D20" s="20" t="n"/>
      <c r="E20" s="19" t="n"/>
    </row>
    <row r="21">
      <c r="A21" s="19" t="n"/>
      <c r="B21" s="19" t="n"/>
      <c r="C21" s="19" t="n"/>
      <c r="D21" s="20" t="n"/>
      <c r="E21" s="19" t="n"/>
    </row>
    <row r="22">
      <c r="A22" s="19" t="n"/>
      <c r="B22" s="19" t="n"/>
      <c r="C22" s="19" t="n"/>
      <c r="D22" s="20" t="n"/>
      <c r="E22" s="19" t="n"/>
    </row>
    <row r="23">
      <c r="A23" s="19" t="n"/>
      <c r="B23" s="19" t="n"/>
      <c r="C23" s="19" t="n"/>
      <c r="D23" s="20" t="n"/>
      <c r="E23" s="19" t="n"/>
    </row>
    <row r="24">
      <c r="A24" s="19" t="n"/>
      <c r="B24" s="19" t="n"/>
      <c r="C24" s="19" t="n"/>
      <c r="D24" s="20" t="n"/>
      <c r="E24" s="19" t="n"/>
    </row>
  </sheetData>
  <mergeCells count="2">
    <mergeCell ref="A2:G2"/>
    <mergeCell ref="A1:G1"/>
  </mergeCells>
  <dataValidations count="1">
    <dataValidation sqref="B6:B30 C5:C30" showDropDown="0" showInputMessage="0" showErrorMessage="0" allowBlank="1" type="list">
      <formula1>=LISTAS!$A$2:$A$8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8" customWidth="1" min="3" max="3"/>
    <col width="29" customWidth="1" min="4" max="4"/>
    <col width="34" customWidth="1" min="5" max="5"/>
    <col width="23" customWidth="1" min="6" max="6"/>
    <col width="12" customWidth="1" min="7" max="7"/>
  </cols>
  <sheetData>
    <row r="1">
      <c r="A1" s="1" t="inlineStr">
        <is>
          <t>📊 Simulador e Controle de Investimentos</t>
        </is>
      </c>
    </row>
    <row r="2">
      <c r="A2" s="2" t="inlineStr">
        <is>
          <t>Corretora: Rico</t>
        </is>
      </c>
    </row>
    <row r="3">
      <c r="A3" s="10" t="inlineStr">
        <is>
          <t>💡 NOTA DEV: Altere os valores nas células amarelas. O simulador considera o efeito Bola de Neve (reinvestimento automático de dividendos).</t>
        </is>
      </c>
    </row>
    <row r="4"/>
    <row r="5">
      <c r="A5" s="24" t="inlineStr">
        <is>
          <t>Parâmetro</t>
        </is>
      </c>
      <c r="B5" s="24" t="inlineStr">
        <is>
          <t>Valor</t>
        </is>
      </c>
    </row>
    <row r="6">
      <c r="A6" s="25" t="inlineStr">
        <is>
          <t>Aporte Inicial</t>
        </is>
      </c>
      <c r="B6" s="26" t="n">
        <v>5000</v>
      </c>
    </row>
    <row r="7">
      <c r="A7" s="25" t="inlineStr">
        <is>
          <t>Aporte Mensal</t>
        </is>
      </c>
      <c r="B7" s="26" t="n">
        <v>500</v>
      </c>
    </row>
    <row r="8">
      <c r="A8" s="25" t="inlineStr">
        <is>
          <t>Rentabilidade Mensal (Valorização)</t>
        </is>
      </c>
      <c r="B8" s="27" t="n">
        <v>0.008</v>
      </c>
    </row>
    <row r="9">
      <c r="A9" s="25" t="inlineStr">
        <is>
          <t>Dividend Yield Mensal (Renda)</t>
        </is>
      </c>
      <c r="B9" s="27" t="n">
        <v>0.008</v>
      </c>
    </row>
    <row r="10">
      <c r="A10" s="25" t="inlineStr">
        <is>
          <t>Período de Projeção (Meses)</t>
        </is>
      </c>
      <c r="B10" s="28" t="n">
        <v>60</v>
      </c>
    </row>
    <row r="11"/>
    <row r="12">
      <c r="A12" s="29" t="inlineStr">
        <is>
          <t>Linha do Tempo - Projeção de Renda e Reinvestimento</t>
        </is>
      </c>
    </row>
    <row r="13">
      <c r="A13" s="30" t="inlineStr">
        <is>
          <t>Mês</t>
        </is>
      </c>
      <c r="B13" s="30" t="inlineStr">
        <is>
          <t>Aporte do Mês</t>
        </is>
      </c>
      <c r="C13" s="30" t="inlineStr">
        <is>
          <t>Total do Bolso</t>
        </is>
      </c>
      <c r="D13" s="30" t="inlineStr">
        <is>
          <t>Patrimônio Acumulado</t>
        </is>
      </c>
      <c r="E13" s="30" t="inlineStr">
        <is>
          <t>Dividendos Recebidos (Bola de Neve)</t>
        </is>
      </c>
      <c r="F13" s="30" t="inlineStr">
        <is>
          <t>Valorização Capital</t>
        </is>
      </c>
    </row>
    <row r="14">
      <c r="A14" s="31" t="n">
        <v>1</v>
      </c>
      <c r="B14" s="32">
        <f>$B$7</f>
        <v/>
      </c>
      <c r="C14" s="32">
        <f>$B$6+B14</f>
        <v/>
      </c>
      <c r="D14" s="32">
        <f>($B$6+B14)*(1+$B$8+$B$9)</f>
        <v/>
      </c>
      <c r="E14" s="32">
        <f>($B$6+B14)*$B$9</f>
        <v/>
      </c>
      <c r="F14" s="32">
        <f>($B$6+B14)*$B$8</f>
        <v/>
      </c>
    </row>
    <row r="15">
      <c r="A15" s="12" t="n">
        <v>2</v>
      </c>
      <c r="B15" s="14">
        <f>$B$7</f>
        <v/>
      </c>
      <c r="C15" s="14">
        <f>C14+B15</f>
        <v/>
      </c>
      <c r="D15" s="14">
        <f>(D14+B15)*(1+$B$8+$B$9)</f>
        <v/>
      </c>
      <c r="E15" s="14">
        <f>(D14+B15)*$B$9</f>
        <v/>
      </c>
      <c r="F15" s="14">
        <f>(D14+B15)*$B$8</f>
        <v/>
      </c>
    </row>
    <row r="16">
      <c r="A16" s="18" t="n">
        <v>3</v>
      </c>
      <c r="B16" s="20">
        <f>$B$7</f>
        <v/>
      </c>
      <c r="C16" s="20">
        <f>C15+B16</f>
        <v/>
      </c>
      <c r="D16" s="20">
        <f>(D15+B16)*(1+$B$8+$B$9)</f>
        <v/>
      </c>
      <c r="E16" s="20">
        <f>(D15+B16)*$B$9</f>
        <v/>
      </c>
      <c r="F16" s="20">
        <f>(D15+B16)*$B$8</f>
        <v/>
      </c>
    </row>
    <row r="17">
      <c r="A17" s="12" t="n">
        <v>4</v>
      </c>
      <c r="B17" s="14">
        <f>$B$7</f>
        <v/>
      </c>
      <c r="C17" s="14">
        <f>C16+B17</f>
        <v/>
      </c>
      <c r="D17" s="14">
        <f>(D16+B17)*(1+$B$8+$B$9)</f>
        <v/>
      </c>
      <c r="E17" s="14">
        <f>(D16+B17)*$B$9</f>
        <v/>
      </c>
      <c r="F17" s="14">
        <f>(D16+B17)*$B$8</f>
        <v/>
      </c>
    </row>
    <row r="18">
      <c r="A18" s="18" t="n">
        <v>5</v>
      </c>
      <c r="B18" s="20">
        <f>$B$7</f>
        <v/>
      </c>
      <c r="C18" s="20">
        <f>C17+B18</f>
        <v/>
      </c>
      <c r="D18" s="20">
        <f>(D17+B18)*(1+$B$8+$B$9)</f>
        <v/>
      </c>
      <c r="E18" s="20">
        <f>(D17+B18)*$B$9</f>
        <v/>
      </c>
      <c r="F18" s="20">
        <f>(D17+B18)*$B$8</f>
        <v/>
      </c>
    </row>
    <row r="19">
      <c r="A19" s="12" t="n">
        <v>6</v>
      </c>
      <c r="B19" s="14">
        <f>$B$7</f>
        <v/>
      </c>
      <c r="C19" s="14">
        <f>C18+B19</f>
        <v/>
      </c>
      <c r="D19" s="14">
        <f>(D18+B19)*(1+$B$8+$B$9)</f>
        <v/>
      </c>
      <c r="E19" s="14">
        <f>(D18+B19)*$B$9</f>
        <v/>
      </c>
      <c r="F19" s="14">
        <f>(D18+B19)*$B$8</f>
        <v/>
      </c>
    </row>
    <row r="20">
      <c r="A20" s="18" t="n">
        <v>7</v>
      </c>
      <c r="B20" s="20">
        <f>$B$7</f>
        <v/>
      </c>
      <c r="C20" s="20">
        <f>C19+B20</f>
        <v/>
      </c>
      <c r="D20" s="20">
        <f>(D19+B20)*(1+$B$8+$B$9)</f>
        <v/>
      </c>
      <c r="E20" s="20">
        <f>(D19+B20)*$B$9</f>
        <v/>
      </c>
      <c r="F20" s="20">
        <f>(D19+B20)*$B$8</f>
        <v/>
      </c>
    </row>
    <row r="21">
      <c r="A21" s="12" t="n">
        <v>8</v>
      </c>
      <c r="B21" s="14">
        <f>$B$7</f>
        <v/>
      </c>
      <c r="C21" s="14">
        <f>C20+B21</f>
        <v/>
      </c>
      <c r="D21" s="14">
        <f>(D20+B21)*(1+$B$8+$B$9)</f>
        <v/>
      </c>
      <c r="E21" s="14">
        <f>(D20+B21)*$B$9</f>
        <v/>
      </c>
      <c r="F21" s="14">
        <f>(D20+B21)*$B$8</f>
        <v/>
      </c>
    </row>
    <row r="22">
      <c r="A22" s="18" t="n">
        <v>9</v>
      </c>
      <c r="B22" s="20">
        <f>$B$7</f>
        <v/>
      </c>
      <c r="C22" s="20">
        <f>C21+B22</f>
        <v/>
      </c>
      <c r="D22" s="20">
        <f>(D21+B22)*(1+$B$8+$B$9)</f>
        <v/>
      </c>
      <c r="E22" s="20">
        <f>(D21+B22)*$B$9</f>
        <v/>
      </c>
      <c r="F22" s="20">
        <f>(D21+B22)*$B$8</f>
        <v/>
      </c>
    </row>
    <row r="23">
      <c r="A23" s="12" t="n">
        <v>10</v>
      </c>
      <c r="B23" s="14">
        <f>$B$7</f>
        <v/>
      </c>
      <c r="C23" s="14">
        <f>C22+B23</f>
        <v/>
      </c>
      <c r="D23" s="14">
        <f>(D22+B23)*(1+$B$8+$B$9)</f>
        <v/>
      </c>
      <c r="E23" s="14">
        <f>(D22+B23)*$B$9</f>
        <v/>
      </c>
      <c r="F23" s="14">
        <f>(D22+B23)*$B$8</f>
        <v/>
      </c>
    </row>
    <row r="24">
      <c r="A24" s="18" t="n">
        <v>11</v>
      </c>
      <c r="B24" s="20">
        <f>$B$7</f>
        <v/>
      </c>
      <c r="C24" s="20">
        <f>C23+B24</f>
        <v/>
      </c>
      <c r="D24" s="20">
        <f>(D23+B24)*(1+$B$8+$B$9)</f>
        <v/>
      </c>
      <c r="E24" s="20">
        <f>(D23+B24)*$B$9</f>
        <v/>
      </c>
      <c r="F24" s="20">
        <f>(D23+B24)*$B$8</f>
        <v/>
      </c>
    </row>
    <row r="25">
      <c r="A25" s="12" t="n">
        <v>12</v>
      </c>
      <c r="B25" s="14">
        <f>$B$7</f>
        <v/>
      </c>
      <c r="C25" s="14">
        <f>C24+B25</f>
        <v/>
      </c>
      <c r="D25" s="14">
        <f>(D24+B25)*(1+$B$8+$B$9)</f>
        <v/>
      </c>
      <c r="E25" s="14">
        <f>(D24+B25)*$B$9</f>
        <v/>
      </c>
      <c r="F25" s="14">
        <f>(D24+B25)*$B$8</f>
        <v/>
      </c>
    </row>
    <row r="26">
      <c r="A26" s="18" t="n">
        <v>13</v>
      </c>
      <c r="B26" s="20">
        <f>$B$7</f>
        <v/>
      </c>
      <c r="C26" s="20">
        <f>C25+B26</f>
        <v/>
      </c>
      <c r="D26" s="20">
        <f>(D25+B26)*(1+$B$8+$B$9)</f>
        <v/>
      </c>
      <c r="E26" s="20">
        <f>(D25+B26)*$B$9</f>
        <v/>
      </c>
      <c r="F26" s="20">
        <f>(D25+B26)*$B$8</f>
        <v/>
      </c>
    </row>
    <row r="27">
      <c r="A27" s="12" t="n">
        <v>14</v>
      </c>
      <c r="B27" s="14">
        <f>$B$7</f>
        <v/>
      </c>
      <c r="C27" s="14">
        <f>C26+B27</f>
        <v/>
      </c>
      <c r="D27" s="14">
        <f>(D26+B27)*(1+$B$8+$B$9)</f>
        <v/>
      </c>
      <c r="E27" s="14">
        <f>(D26+B27)*$B$9</f>
        <v/>
      </c>
      <c r="F27" s="14">
        <f>(D26+B27)*$B$8</f>
        <v/>
      </c>
    </row>
    <row r="28">
      <c r="A28" s="18" t="n">
        <v>15</v>
      </c>
      <c r="B28" s="20">
        <f>$B$7</f>
        <v/>
      </c>
      <c r="C28" s="20">
        <f>C27+B28</f>
        <v/>
      </c>
      <c r="D28" s="20">
        <f>(D27+B28)*(1+$B$8+$B$9)</f>
        <v/>
      </c>
      <c r="E28" s="20">
        <f>(D27+B28)*$B$9</f>
        <v/>
      </c>
      <c r="F28" s="20">
        <f>(D27+B28)*$B$8</f>
        <v/>
      </c>
    </row>
    <row r="29">
      <c r="A29" s="12" t="n">
        <v>16</v>
      </c>
      <c r="B29" s="14">
        <f>$B$7</f>
        <v/>
      </c>
      <c r="C29" s="14">
        <f>C28+B29</f>
        <v/>
      </c>
      <c r="D29" s="14">
        <f>(D28+B29)*(1+$B$8+$B$9)</f>
        <v/>
      </c>
      <c r="E29" s="14">
        <f>(D28+B29)*$B$9</f>
        <v/>
      </c>
      <c r="F29" s="14">
        <f>(D28+B29)*$B$8</f>
        <v/>
      </c>
    </row>
    <row r="30">
      <c r="A30" s="18" t="n">
        <v>17</v>
      </c>
      <c r="B30" s="20">
        <f>$B$7</f>
        <v/>
      </c>
      <c r="C30" s="20">
        <f>C29+B30</f>
        <v/>
      </c>
      <c r="D30" s="20">
        <f>(D29+B30)*(1+$B$8+$B$9)</f>
        <v/>
      </c>
      <c r="E30" s="20">
        <f>(D29+B30)*$B$9</f>
        <v/>
      </c>
      <c r="F30" s="20">
        <f>(D29+B30)*$B$8</f>
        <v/>
      </c>
    </row>
    <row r="31">
      <c r="A31" s="12" t="n">
        <v>18</v>
      </c>
      <c r="B31" s="14">
        <f>$B$7</f>
        <v/>
      </c>
      <c r="C31" s="14">
        <f>C30+B31</f>
        <v/>
      </c>
      <c r="D31" s="14">
        <f>(D30+B31)*(1+$B$8+$B$9)</f>
        <v/>
      </c>
      <c r="E31" s="14">
        <f>(D30+B31)*$B$9</f>
        <v/>
      </c>
      <c r="F31" s="14">
        <f>(D30+B31)*$B$8</f>
        <v/>
      </c>
    </row>
    <row r="32">
      <c r="A32" s="18" t="n">
        <v>19</v>
      </c>
      <c r="B32" s="20">
        <f>$B$7</f>
        <v/>
      </c>
      <c r="C32" s="20">
        <f>C31+B32</f>
        <v/>
      </c>
      <c r="D32" s="20">
        <f>(D31+B32)*(1+$B$8+$B$9)</f>
        <v/>
      </c>
      <c r="E32" s="20">
        <f>(D31+B32)*$B$9</f>
        <v/>
      </c>
      <c r="F32" s="20">
        <f>(D31+B32)*$B$8</f>
        <v/>
      </c>
    </row>
    <row r="33">
      <c r="A33" s="12" t="n">
        <v>20</v>
      </c>
      <c r="B33" s="14">
        <f>$B$7</f>
        <v/>
      </c>
      <c r="C33" s="14">
        <f>C32+B33</f>
        <v/>
      </c>
      <c r="D33" s="14">
        <f>(D32+B33)*(1+$B$8+$B$9)</f>
        <v/>
      </c>
      <c r="E33" s="14">
        <f>(D32+B33)*$B$9</f>
        <v/>
      </c>
      <c r="F33" s="14">
        <f>(D32+B33)*$B$8</f>
        <v/>
      </c>
    </row>
    <row r="34">
      <c r="A34" s="18" t="n">
        <v>21</v>
      </c>
      <c r="B34" s="20">
        <f>$B$7</f>
        <v/>
      </c>
      <c r="C34" s="20">
        <f>C33+B34</f>
        <v/>
      </c>
      <c r="D34" s="20">
        <f>(D33+B34)*(1+$B$8+$B$9)</f>
        <v/>
      </c>
      <c r="E34" s="20">
        <f>(D33+B34)*$B$9</f>
        <v/>
      </c>
      <c r="F34" s="20">
        <f>(D33+B34)*$B$8</f>
        <v/>
      </c>
    </row>
    <row r="35">
      <c r="A35" s="12" t="n">
        <v>22</v>
      </c>
      <c r="B35" s="14">
        <f>$B$7</f>
        <v/>
      </c>
      <c r="C35" s="14">
        <f>C34+B35</f>
        <v/>
      </c>
      <c r="D35" s="14">
        <f>(D34+B35)*(1+$B$8+$B$9)</f>
        <v/>
      </c>
      <c r="E35" s="14">
        <f>(D34+B35)*$B$9</f>
        <v/>
      </c>
      <c r="F35" s="14">
        <f>(D34+B35)*$B$8</f>
        <v/>
      </c>
    </row>
    <row r="36">
      <c r="A36" s="18" t="n">
        <v>23</v>
      </c>
      <c r="B36" s="20">
        <f>$B$7</f>
        <v/>
      </c>
      <c r="C36" s="20">
        <f>C35+B36</f>
        <v/>
      </c>
      <c r="D36" s="20">
        <f>(D35+B36)*(1+$B$8+$B$9)</f>
        <v/>
      </c>
      <c r="E36" s="20">
        <f>(D35+B36)*$B$9</f>
        <v/>
      </c>
      <c r="F36" s="20">
        <f>(D35+B36)*$B$8</f>
        <v/>
      </c>
    </row>
    <row r="37">
      <c r="A37" s="12" t="n">
        <v>24</v>
      </c>
      <c r="B37" s="14">
        <f>$B$7</f>
        <v/>
      </c>
      <c r="C37" s="14">
        <f>C36+B37</f>
        <v/>
      </c>
      <c r="D37" s="14">
        <f>(D36+B37)*(1+$B$8+$B$9)</f>
        <v/>
      </c>
      <c r="E37" s="14">
        <f>(D36+B37)*$B$9</f>
        <v/>
      </c>
      <c r="F37" s="14">
        <f>(D36+B37)*$B$8</f>
        <v/>
      </c>
    </row>
    <row r="38">
      <c r="A38" s="18" t="n">
        <v>25</v>
      </c>
      <c r="B38" s="20">
        <f>$B$7</f>
        <v/>
      </c>
      <c r="C38" s="20">
        <f>C37+B38</f>
        <v/>
      </c>
      <c r="D38" s="20">
        <f>(D37+B38)*(1+$B$8+$B$9)</f>
        <v/>
      </c>
      <c r="E38" s="20">
        <f>(D37+B38)*$B$9</f>
        <v/>
      </c>
      <c r="F38" s="20">
        <f>(D37+B38)*$B$8</f>
        <v/>
      </c>
    </row>
    <row r="39">
      <c r="A39" s="12" t="n">
        <v>26</v>
      </c>
      <c r="B39" s="14">
        <f>$B$7</f>
        <v/>
      </c>
      <c r="C39" s="14">
        <f>C38+B39</f>
        <v/>
      </c>
      <c r="D39" s="14">
        <f>(D38+B39)*(1+$B$8+$B$9)</f>
        <v/>
      </c>
      <c r="E39" s="14">
        <f>(D38+B39)*$B$9</f>
        <v/>
      </c>
      <c r="F39" s="14">
        <f>(D38+B39)*$B$8</f>
        <v/>
      </c>
    </row>
    <row r="40">
      <c r="A40" s="18" t="n">
        <v>27</v>
      </c>
      <c r="B40" s="20">
        <f>$B$7</f>
        <v/>
      </c>
      <c r="C40" s="20">
        <f>C39+B40</f>
        <v/>
      </c>
      <c r="D40" s="20">
        <f>(D39+B40)*(1+$B$8+$B$9)</f>
        <v/>
      </c>
      <c r="E40" s="20">
        <f>(D39+B40)*$B$9</f>
        <v/>
      </c>
      <c r="F40" s="20">
        <f>(D39+B40)*$B$8</f>
        <v/>
      </c>
    </row>
    <row r="41">
      <c r="A41" s="12" t="n">
        <v>28</v>
      </c>
      <c r="B41" s="14">
        <f>$B$7</f>
        <v/>
      </c>
      <c r="C41" s="14">
        <f>C40+B41</f>
        <v/>
      </c>
      <c r="D41" s="14">
        <f>(D40+B41)*(1+$B$8+$B$9)</f>
        <v/>
      </c>
      <c r="E41" s="14">
        <f>(D40+B41)*$B$9</f>
        <v/>
      </c>
      <c r="F41" s="14">
        <f>(D40+B41)*$B$8</f>
        <v/>
      </c>
    </row>
    <row r="42">
      <c r="A42" s="18" t="n">
        <v>29</v>
      </c>
      <c r="B42" s="20">
        <f>$B$7</f>
        <v/>
      </c>
      <c r="C42" s="20">
        <f>C41+B42</f>
        <v/>
      </c>
      <c r="D42" s="20">
        <f>(D41+B42)*(1+$B$8+$B$9)</f>
        <v/>
      </c>
      <c r="E42" s="20">
        <f>(D41+B42)*$B$9</f>
        <v/>
      </c>
      <c r="F42" s="20">
        <f>(D41+B42)*$B$8</f>
        <v/>
      </c>
    </row>
    <row r="43">
      <c r="A43" s="12" t="n">
        <v>30</v>
      </c>
      <c r="B43" s="14">
        <f>$B$7</f>
        <v/>
      </c>
      <c r="C43" s="14">
        <f>C42+B43</f>
        <v/>
      </c>
      <c r="D43" s="14">
        <f>(D42+B43)*(1+$B$8+$B$9)</f>
        <v/>
      </c>
      <c r="E43" s="14">
        <f>(D42+B43)*$B$9</f>
        <v/>
      </c>
      <c r="F43" s="14">
        <f>(D42+B43)*$B$8</f>
        <v/>
      </c>
    </row>
    <row r="44">
      <c r="A44" s="18" t="n">
        <v>31</v>
      </c>
      <c r="B44" s="20">
        <f>$B$7</f>
        <v/>
      </c>
      <c r="C44" s="20">
        <f>C43+B44</f>
        <v/>
      </c>
      <c r="D44" s="20">
        <f>(D43+B44)*(1+$B$8+$B$9)</f>
        <v/>
      </c>
      <c r="E44" s="20">
        <f>(D43+B44)*$B$9</f>
        <v/>
      </c>
      <c r="F44" s="20">
        <f>(D43+B44)*$B$8</f>
        <v/>
      </c>
    </row>
    <row r="45">
      <c r="A45" s="12" t="n">
        <v>32</v>
      </c>
      <c r="B45" s="14">
        <f>$B$7</f>
        <v/>
      </c>
      <c r="C45" s="14">
        <f>C44+B45</f>
        <v/>
      </c>
      <c r="D45" s="14">
        <f>(D44+B45)*(1+$B$8+$B$9)</f>
        <v/>
      </c>
      <c r="E45" s="14">
        <f>(D44+B45)*$B$9</f>
        <v/>
      </c>
      <c r="F45" s="14">
        <f>(D44+B45)*$B$8</f>
        <v/>
      </c>
    </row>
    <row r="46">
      <c r="A46" s="18" t="n">
        <v>33</v>
      </c>
      <c r="B46" s="20">
        <f>$B$7</f>
        <v/>
      </c>
      <c r="C46" s="20">
        <f>C45+B46</f>
        <v/>
      </c>
      <c r="D46" s="20">
        <f>(D45+B46)*(1+$B$8+$B$9)</f>
        <v/>
      </c>
      <c r="E46" s="20">
        <f>(D45+B46)*$B$9</f>
        <v/>
      </c>
      <c r="F46" s="20">
        <f>(D45+B46)*$B$8</f>
        <v/>
      </c>
    </row>
    <row r="47">
      <c r="A47" s="12" t="n">
        <v>34</v>
      </c>
      <c r="B47" s="14">
        <f>$B$7</f>
        <v/>
      </c>
      <c r="C47" s="14">
        <f>C46+B47</f>
        <v/>
      </c>
      <c r="D47" s="14">
        <f>(D46+B47)*(1+$B$8+$B$9)</f>
        <v/>
      </c>
      <c r="E47" s="14">
        <f>(D46+B47)*$B$9</f>
        <v/>
      </c>
      <c r="F47" s="14">
        <f>(D46+B47)*$B$8</f>
        <v/>
      </c>
    </row>
    <row r="48">
      <c r="A48" s="18" t="n">
        <v>35</v>
      </c>
      <c r="B48" s="20">
        <f>$B$7</f>
        <v/>
      </c>
      <c r="C48" s="20">
        <f>C47+B48</f>
        <v/>
      </c>
      <c r="D48" s="20">
        <f>(D47+B48)*(1+$B$8+$B$9)</f>
        <v/>
      </c>
      <c r="E48" s="20">
        <f>(D47+B48)*$B$9</f>
        <v/>
      </c>
      <c r="F48" s="20">
        <f>(D47+B48)*$B$8</f>
        <v/>
      </c>
    </row>
    <row r="49">
      <c r="A49" s="12" t="n">
        <v>36</v>
      </c>
      <c r="B49" s="14">
        <f>$B$7</f>
        <v/>
      </c>
      <c r="C49" s="14">
        <f>C48+B49</f>
        <v/>
      </c>
      <c r="D49" s="14">
        <f>(D48+B49)*(1+$B$8+$B$9)</f>
        <v/>
      </c>
      <c r="E49" s="14">
        <f>(D48+B49)*$B$9</f>
        <v/>
      </c>
      <c r="F49" s="14">
        <f>(D48+B49)*$B$8</f>
        <v/>
      </c>
    </row>
    <row r="50">
      <c r="A50" s="18" t="n">
        <v>37</v>
      </c>
      <c r="B50" s="20">
        <f>$B$7</f>
        <v/>
      </c>
      <c r="C50" s="20">
        <f>C49+B50</f>
        <v/>
      </c>
      <c r="D50" s="20">
        <f>(D49+B50)*(1+$B$8+$B$9)</f>
        <v/>
      </c>
      <c r="E50" s="20">
        <f>(D49+B50)*$B$9</f>
        <v/>
      </c>
      <c r="F50" s="20">
        <f>(D49+B50)*$B$8</f>
        <v/>
      </c>
    </row>
    <row r="51">
      <c r="A51" s="12" t="n">
        <v>38</v>
      </c>
      <c r="B51" s="14">
        <f>$B$7</f>
        <v/>
      </c>
      <c r="C51" s="14">
        <f>C50+B51</f>
        <v/>
      </c>
      <c r="D51" s="14">
        <f>(D50+B51)*(1+$B$8+$B$9)</f>
        <v/>
      </c>
      <c r="E51" s="14">
        <f>(D50+B51)*$B$9</f>
        <v/>
      </c>
      <c r="F51" s="14">
        <f>(D50+B51)*$B$8</f>
        <v/>
      </c>
    </row>
    <row r="52">
      <c r="A52" s="18" t="n">
        <v>39</v>
      </c>
      <c r="B52" s="20">
        <f>$B$7</f>
        <v/>
      </c>
      <c r="C52" s="20">
        <f>C51+B52</f>
        <v/>
      </c>
      <c r="D52" s="20">
        <f>(D51+B52)*(1+$B$8+$B$9)</f>
        <v/>
      </c>
      <c r="E52" s="20">
        <f>(D51+B52)*$B$9</f>
        <v/>
      </c>
      <c r="F52" s="20">
        <f>(D51+B52)*$B$8</f>
        <v/>
      </c>
    </row>
    <row r="53">
      <c r="A53" s="12" t="n">
        <v>40</v>
      </c>
      <c r="B53" s="14">
        <f>$B$7</f>
        <v/>
      </c>
      <c r="C53" s="14">
        <f>C52+B53</f>
        <v/>
      </c>
      <c r="D53" s="14">
        <f>(D52+B53)*(1+$B$8+$B$9)</f>
        <v/>
      </c>
      <c r="E53" s="14">
        <f>(D52+B53)*$B$9</f>
        <v/>
      </c>
      <c r="F53" s="14">
        <f>(D52+B53)*$B$8</f>
        <v/>
      </c>
    </row>
    <row r="54">
      <c r="A54" s="18" t="n">
        <v>41</v>
      </c>
      <c r="B54" s="20">
        <f>$B$7</f>
        <v/>
      </c>
      <c r="C54" s="20">
        <f>C53+B54</f>
        <v/>
      </c>
      <c r="D54" s="20">
        <f>(D53+B54)*(1+$B$8+$B$9)</f>
        <v/>
      </c>
      <c r="E54" s="20">
        <f>(D53+B54)*$B$9</f>
        <v/>
      </c>
      <c r="F54" s="20">
        <f>(D53+B54)*$B$8</f>
        <v/>
      </c>
    </row>
    <row r="55">
      <c r="A55" s="12" t="n">
        <v>42</v>
      </c>
      <c r="B55" s="14">
        <f>$B$7</f>
        <v/>
      </c>
      <c r="C55" s="14">
        <f>C54+B55</f>
        <v/>
      </c>
      <c r="D55" s="14">
        <f>(D54+B55)*(1+$B$8+$B$9)</f>
        <v/>
      </c>
      <c r="E55" s="14">
        <f>(D54+B55)*$B$9</f>
        <v/>
      </c>
      <c r="F55" s="14">
        <f>(D54+B55)*$B$8</f>
        <v/>
      </c>
    </row>
    <row r="56">
      <c r="A56" s="18" t="n">
        <v>43</v>
      </c>
      <c r="B56" s="20">
        <f>$B$7</f>
        <v/>
      </c>
      <c r="C56" s="20">
        <f>C55+B56</f>
        <v/>
      </c>
      <c r="D56" s="20">
        <f>(D55+B56)*(1+$B$8+$B$9)</f>
        <v/>
      </c>
      <c r="E56" s="20">
        <f>(D55+B56)*$B$9</f>
        <v/>
      </c>
      <c r="F56" s="20">
        <f>(D55+B56)*$B$8</f>
        <v/>
      </c>
    </row>
    <row r="57">
      <c r="A57" s="12" t="n">
        <v>44</v>
      </c>
      <c r="B57" s="14">
        <f>$B$7</f>
        <v/>
      </c>
      <c r="C57" s="14">
        <f>C56+B57</f>
        <v/>
      </c>
      <c r="D57" s="14">
        <f>(D56+B57)*(1+$B$8+$B$9)</f>
        <v/>
      </c>
      <c r="E57" s="14">
        <f>(D56+B57)*$B$9</f>
        <v/>
      </c>
      <c r="F57" s="14">
        <f>(D56+B57)*$B$8</f>
        <v/>
      </c>
    </row>
    <row r="58">
      <c r="A58" s="18" t="n">
        <v>45</v>
      </c>
      <c r="B58" s="20">
        <f>$B$7</f>
        <v/>
      </c>
      <c r="C58" s="20">
        <f>C57+B58</f>
        <v/>
      </c>
      <c r="D58" s="20">
        <f>(D57+B58)*(1+$B$8+$B$9)</f>
        <v/>
      </c>
      <c r="E58" s="20">
        <f>(D57+B58)*$B$9</f>
        <v/>
      </c>
      <c r="F58" s="20">
        <f>(D57+B58)*$B$8</f>
        <v/>
      </c>
    </row>
    <row r="59">
      <c r="A59" s="12" t="n">
        <v>46</v>
      </c>
      <c r="B59" s="14">
        <f>$B$7</f>
        <v/>
      </c>
      <c r="C59" s="14">
        <f>C58+B59</f>
        <v/>
      </c>
      <c r="D59" s="14">
        <f>(D58+B59)*(1+$B$8+$B$9)</f>
        <v/>
      </c>
      <c r="E59" s="14">
        <f>(D58+B59)*$B$9</f>
        <v/>
      </c>
      <c r="F59" s="14">
        <f>(D58+B59)*$B$8</f>
        <v/>
      </c>
    </row>
    <row r="60">
      <c r="A60" s="18" t="n">
        <v>47</v>
      </c>
      <c r="B60" s="20">
        <f>$B$7</f>
        <v/>
      </c>
      <c r="C60" s="20">
        <f>C59+B60</f>
        <v/>
      </c>
      <c r="D60" s="20">
        <f>(D59+B60)*(1+$B$8+$B$9)</f>
        <v/>
      </c>
      <c r="E60" s="20">
        <f>(D59+B60)*$B$9</f>
        <v/>
      </c>
      <c r="F60" s="20">
        <f>(D59+B60)*$B$8</f>
        <v/>
      </c>
    </row>
    <row r="61">
      <c r="A61" s="12" t="n">
        <v>48</v>
      </c>
      <c r="B61" s="14">
        <f>$B$7</f>
        <v/>
      </c>
      <c r="C61" s="14">
        <f>C60+B61</f>
        <v/>
      </c>
      <c r="D61" s="14">
        <f>(D60+B61)*(1+$B$8+$B$9)</f>
        <v/>
      </c>
      <c r="E61" s="14">
        <f>(D60+B61)*$B$9</f>
        <v/>
      </c>
      <c r="F61" s="14">
        <f>(D60+B61)*$B$8</f>
        <v/>
      </c>
    </row>
    <row r="62">
      <c r="A62" s="18" t="n">
        <v>49</v>
      </c>
      <c r="B62" s="20">
        <f>$B$7</f>
        <v/>
      </c>
      <c r="C62" s="20">
        <f>C61+B62</f>
        <v/>
      </c>
      <c r="D62" s="20">
        <f>(D61+B62)*(1+$B$8+$B$9)</f>
        <v/>
      </c>
      <c r="E62" s="20">
        <f>(D61+B62)*$B$9</f>
        <v/>
      </c>
      <c r="F62" s="20">
        <f>(D61+B62)*$B$8</f>
        <v/>
      </c>
    </row>
    <row r="63">
      <c r="A63" s="12" t="n">
        <v>50</v>
      </c>
      <c r="B63" s="14">
        <f>$B$7</f>
        <v/>
      </c>
      <c r="C63" s="14">
        <f>C62+B63</f>
        <v/>
      </c>
      <c r="D63" s="14">
        <f>(D62+B63)*(1+$B$8+$B$9)</f>
        <v/>
      </c>
      <c r="E63" s="14">
        <f>(D62+B63)*$B$9</f>
        <v/>
      </c>
      <c r="F63" s="14">
        <f>(D62+B63)*$B$8</f>
        <v/>
      </c>
    </row>
    <row r="64">
      <c r="A64" s="18" t="n">
        <v>51</v>
      </c>
      <c r="B64" s="20">
        <f>$B$7</f>
        <v/>
      </c>
      <c r="C64" s="20">
        <f>C63+B64</f>
        <v/>
      </c>
      <c r="D64" s="20">
        <f>(D63+B64)*(1+$B$8+$B$9)</f>
        <v/>
      </c>
      <c r="E64" s="20">
        <f>(D63+B64)*$B$9</f>
        <v/>
      </c>
      <c r="F64" s="20">
        <f>(D63+B64)*$B$8</f>
        <v/>
      </c>
    </row>
    <row r="65">
      <c r="A65" s="12" t="n">
        <v>52</v>
      </c>
      <c r="B65" s="14">
        <f>$B$7</f>
        <v/>
      </c>
      <c r="C65" s="14">
        <f>C64+B65</f>
        <v/>
      </c>
      <c r="D65" s="14">
        <f>(D64+B65)*(1+$B$8+$B$9)</f>
        <v/>
      </c>
      <c r="E65" s="14">
        <f>(D64+B65)*$B$9</f>
        <v/>
      </c>
      <c r="F65" s="14">
        <f>(D64+B65)*$B$8</f>
        <v/>
      </c>
    </row>
    <row r="66">
      <c r="A66" s="18" t="n">
        <v>53</v>
      </c>
      <c r="B66" s="20">
        <f>$B$7</f>
        <v/>
      </c>
      <c r="C66" s="20">
        <f>C65+B66</f>
        <v/>
      </c>
      <c r="D66" s="20">
        <f>(D65+B66)*(1+$B$8+$B$9)</f>
        <v/>
      </c>
      <c r="E66" s="20">
        <f>(D65+B66)*$B$9</f>
        <v/>
      </c>
      <c r="F66" s="20">
        <f>(D65+B66)*$B$8</f>
        <v/>
      </c>
    </row>
    <row r="67">
      <c r="A67" s="12" t="n">
        <v>54</v>
      </c>
      <c r="B67" s="14">
        <f>$B$7</f>
        <v/>
      </c>
      <c r="C67" s="14">
        <f>C66+B67</f>
        <v/>
      </c>
      <c r="D67" s="14">
        <f>(D66+B67)*(1+$B$8+$B$9)</f>
        <v/>
      </c>
      <c r="E67" s="14">
        <f>(D66+B67)*$B$9</f>
        <v/>
      </c>
      <c r="F67" s="14">
        <f>(D66+B67)*$B$8</f>
        <v/>
      </c>
    </row>
    <row r="68">
      <c r="A68" s="18" t="n">
        <v>55</v>
      </c>
      <c r="B68" s="20">
        <f>$B$7</f>
        <v/>
      </c>
      <c r="C68" s="20">
        <f>C67+B68</f>
        <v/>
      </c>
      <c r="D68" s="20">
        <f>(D67+B68)*(1+$B$8+$B$9)</f>
        <v/>
      </c>
      <c r="E68" s="20">
        <f>(D67+B68)*$B$9</f>
        <v/>
      </c>
      <c r="F68" s="20">
        <f>(D67+B68)*$B$8</f>
        <v/>
      </c>
    </row>
    <row r="69">
      <c r="A69" s="12" t="n">
        <v>56</v>
      </c>
      <c r="B69" s="14">
        <f>$B$7</f>
        <v/>
      </c>
      <c r="C69" s="14">
        <f>C68+B69</f>
        <v/>
      </c>
      <c r="D69" s="14">
        <f>(D68+B69)*(1+$B$8+$B$9)</f>
        <v/>
      </c>
      <c r="E69" s="14">
        <f>(D68+B69)*$B$9</f>
        <v/>
      </c>
      <c r="F69" s="14">
        <f>(D68+B69)*$B$8</f>
        <v/>
      </c>
    </row>
    <row r="70">
      <c r="A70" s="18" t="n">
        <v>57</v>
      </c>
      <c r="B70" s="20">
        <f>$B$7</f>
        <v/>
      </c>
      <c r="C70" s="20">
        <f>C69+B70</f>
        <v/>
      </c>
      <c r="D70" s="20">
        <f>(D69+B70)*(1+$B$8+$B$9)</f>
        <v/>
      </c>
      <c r="E70" s="20">
        <f>(D69+B70)*$B$9</f>
        <v/>
      </c>
      <c r="F70" s="20">
        <f>(D69+B70)*$B$8</f>
        <v/>
      </c>
    </row>
    <row r="71">
      <c r="A71" s="12" t="n">
        <v>58</v>
      </c>
      <c r="B71" s="14">
        <f>$B$7</f>
        <v/>
      </c>
      <c r="C71" s="14">
        <f>C70+B71</f>
        <v/>
      </c>
      <c r="D71" s="14">
        <f>(D70+B71)*(1+$B$8+$B$9)</f>
        <v/>
      </c>
      <c r="E71" s="14">
        <f>(D70+B71)*$B$9</f>
        <v/>
      </c>
      <c r="F71" s="14">
        <f>(D70+B71)*$B$8</f>
        <v/>
      </c>
    </row>
    <row r="72">
      <c r="A72" s="18" t="n">
        <v>59</v>
      </c>
      <c r="B72" s="20">
        <f>$B$7</f>
        <v/>
      </c>
      <c r="C72" s="20">
        <f>C71+B72</f>
        <v/>
      </c>
      <c r="D72" s="20">
        <f>(D71+B72)*(1+$B$8+$B$9)</f>
        <v/>
      </c>
      <c r="E72" s="20">
        <f>(D71+B72)*$B$9</f>
        <v/>
      </c>
      <c r="F72" s="20">
        <f>(D71+B72)*$B$8</f>
        <v/>
      </c>
    </row>
    <row r="73">
      <c r="A73" s="12" t="n">
        <v>60</v>
      </c>
      <c r="B73" s="14">
        <f>$B$7</f>
        <v/>
      </c>
      <c r="C73" s="14">
        <f>C72+B73</f>
        <v/>
      </c>
      <c r="D73" s="14">
        <f>(D72+B73)*(1+$B$8+$B$9)</f>
        <v/>
      </c>
      <c r="E73" s="14">
        <f>(D72+B73)*$B$9</f>
        <v/>
      </c>
      <c r="F73" s="14">
        <f>(D72+B73)*$B$8</f>
        <v/>
      </c>
    </row>
  </sheetData>
  <mergeCells count="3">
    <mergeCell ref="A3:F3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2026-08-19T17:20:06Z</dcterms:created>
  <dcterms:modified xmlns:dcterms="http://purl.org/dc/terms/" xmlns:xsi="http://www.w3.org/2001/XMLSchema-instance" xsi:type="dcterms:W3CDTF">2026-08-19T17:20:06Z</dcterms:modified>
</cp:coreProperties>
</file>